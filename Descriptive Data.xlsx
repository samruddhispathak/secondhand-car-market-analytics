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27aeaa8a47ec7c/Desktop/MSc Business Analytics/"/>
    </mc:Choice>
  </mc:AlternateContent>
  <xr:revisionPtr revIDLastSave="11" documentId="8_{B6A40DF7-E500-4F16-A0FE-CE0835603363}" xr6:coauthVersionLast="47" xr6:coauthVersionMax="47" xr10:uidLastSave="{43BB106C-69D9-471C-AAE1-15523C41889F}"/>
  <bookViews>
    <workbookView xWindow="-103" yWindow="-103" windowWidth="22149" windowHeight="13200" activeTab="3" xr2:uid="{D7B56B8E-643F-4F55-9D99-7A37E919B5A5}"/>
  </bookViews>
  <sheets>
    <sheet name="Graph" sheetId="2" r:id="rId1"/>
    <sheet name="Sheet2" sheetId="5" r:id="rId2"/>
    <sheet name="Sheet1" sheetId="4" r:id="rId3"/>
    <sheet name="Data" sheetId="1" r:id="rId4"/>
    <sheet name="Analysis" sheetId="3" r:id="rId5"/>
  </sheets>
  <definedNames>
    <definedName name="_xlchart.v1.0" hidden="1">Data!$G$3</definedName>
    <definedName name="_xlchart.v1.1" hidden="1">Data!$G$4:$G$103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8" i="1" l="1"/>
  <c r="G107" i="1"/>
  <c r="G106" i="1"/>
  <c r="C108" i="1"/>
  <c r="C107" i="1"/>
  <c r="C106" i="1"/>
  <c r="C105" i="1"/>
  <c r="G105" i="1"/>
</calcChain>
</file>

<file path=xl/sharedStrings.xml><?xml version="1.0" encoding="utf-8"?>
<sst xmlns="http://schemas.openxmlformats.org/spreadsheetml/2006/main" count="509" uniqueCount="149">
  <si>
    <t>ID</t>
  </si>
  <si>
    <t>Location</t>
  </si>
  <si>
    <t>Price</t>
  </si>
  <si>
    <t>Mileage</t>
  </si>
  <si>
    <t>Registration</t>
  </si>
  <si>
    <t>Gearbox</t>
  </si>
  <si>
    <t>Body Colour</t>
  </si>
  <si>
    <t>Manual</t>
  </si>
  <si>
    <t>Silver</t>
  </si>
  <si>
    <t>Automatic</t>
  </si>
  <si>
    <t>Birmingham (2 miles)</t>
  </si>
  <si>
    <t>Solihull (6 miles)</t>
  </si>
  <si>
    <t>Black</t>
  </si>
  <si>
    <t>Pontypool (70 miles)</t>
  </si>
  <si>
    <t>Grey</t>
  </si>
  <si>
    <t>Bedford (65 miles)</t>
  </si>
  <si>
    <t>Warwick (14 miles)</t>
  </si>
  <si>
    <t>Blue</t>
  </si>
  <si>
    <t>Wolverhampton (14 miles)</t>
  </si>
  <si>
    <t>Green</t>
  </si>
  <si>
    <t>Bristol (79 miles)</t>
  </si>
  <si>
    <t>Sheffield (65 miles)</t>
  </si>
  <si>
    <t>Worcester (24 miles)</t>
  </si>
  <si>
    <t>Wigan (77 miles)</t>
  </si>
  <si>
    <t>Derby (36 miles)</t>
  </si>
  <si>
    <t>Red</t>
  </si>
  <si>
    <t>Taunton (111 miles)</t>
  </si>
  <si>
    <t>Scunthorpe (92 miles)</t>
  </si>
  <si>
    <t>Oldham (75 miles)</t>
  </si>
  <si>
    <t>Knaresborough (107 miles)</t>
  </si>
  <si>
    <t>Northampton (46 miles)</t>
  </si>
  <si>
    <t>Telford (29 miles)</t>
  </si>
  <si>
    <t>Newburry (80 miles)</t>
  </si>
  <si>
    <t>Sutton In Ashfield (51 miles)</t>
  </si>
  <si>
    <t>Stone (29 miles)</t>
  </si>
  <si>
    <t>Warwick (28 miles)</t>
  </si>
  <si>
    <t>Hinckley (22 miles)</t>
  </si>
  <si>
    <t>West Drayton (91 miles)</t>
  </si>
  <si>
    <t>Kingswinford (12 miles)</t>
  </si>
  <si>
    <t>White</t>
  </si>
  <si>
    <t>Huddersfield (80 miles)</t>
  </si>
  <si>
    <t>Macclesfield (56 miles)</t>
  </si>
  <si>
    <t>Keston (114 miles)</t>
  </si>
  <si>
    <t>Warrington (71 miles)</t>
  </si>
  <si>
    <t>Great Missenden (73 miles)</t>
  </si>
  <si>
    <t>Wigan (80 miles)</t>
  </si>
  <si>
    <t>Tonbridge (132 miles)</t>
  </si>
  <si>
    <t>Wilmslow (60 miles)</t>
  </si>
  <si>
    <t>St. Neots (71 miles)</t>
  </si>
  <si>
    <t>Milton Keynes (59 miles)</t>
  </si>
  <si>
    <t>Cheltenham (41 miles)</t>
  </si>
  <si>
    <t>Basingstoke (92 miles)</t>
  </si>
  <si>
    <t>Ferryhill (150 miles)</t>
  </si>
  <si>
    <t>Nottingham (44 miles)</t>
  </si>
  <si>
    <t>Bridport (129 miles)</t>
  </si>
  <si>
    <t>Swadlincote (23 miles)</t>
  </si>
  <si>
    <t>Tring (70 miles)</t>
  </si>
  <si>
    <t>Lyndhurst (108 miles)</t>
  </si>
  <si>
    <t>Fareham (118 miles)</t>
  </si>
  <si>
    <t>Grantham (60 miles)</t>
  </si>
  <si>
    <t>Poole (120 miles)</t>
  </si>
  <si>
    <t>Sheffield (67 miles)</t>
  </si>
  <si>
    <t>Chesterfield (54 miles)</t>
  </si>
  <si>
    <t>Romsey (106 miles)</t>
  </si>
  <si>
    <t>High Wycombe (78 miles)</t>
  </si>
  <si>
    <t>Clitheroe (96 miles)</t>
  </si>
  <si>
    <t>Liskeard (180 miles)</t>
  </si>
  <si>
    <t>Macclesfield (55 miles)</t>
  </si>
  <si>
    <t>Mansfield (53 miles)</t>
  </si>
  <si>
    <t>Camberley (94 miles)</t>
  </si>
  <si>
    <t>Chislehurst (112 miles)</t>
  </si>
  <si>
    <t>Cardiff (90 miles)</t>
  </si>
  <si>
    <t>Milton Keynes (60 miles)</t>
  </si>
  <si>
    <t>Pangbourne (78 miles)</t>
  </si>
  <si>
    <t>Bristol (74 miles)</t>
  </si>
  <si>
    <t>Sudbury (122 miles)</t>
  </si>
  <si>
    <t>Eye (128 miles)</t>
  </si>
  <si>
    <t>Clapham (104 miles)</t>
  </si>
  <si>
    <t>Leeds (91 miles)</t>
  </si>
  <si>
    <t>London (96 miles)</t>
  </si>
  <si>
    <t>Broadstone (120 miles)</t>
  </si>
  <si>
    <t>Belfast (221 miles)</t>
  </si>
  <si>
    <t>Pontyclun (94 miles)</t>
  </si>
  <si>
    <t>King's Lynn (101 miles)</t>
  </si>
  <si>
    <t>Beamish (167 miles)</t>
  </si>
  <si>
    <t>Chislehurst (124 miles)</t>
  </si>
  <si>
    <t>Orpington (115 miles)</t>
  </si>
  <si>
    <t>Banstead (109 miles)</t>
  </si>
  <si>
    <t>Tunbridge Wells (131 miles)</t>
  </si>
  <si>
    <t>County Tyrone (244 miles)</t>
  </si>
  <si>
    <t>Lisburn (220 miles)</t>
  </si>
  <si>
    <t>Bury St Edmunds (117 miles)</t>
  </si>
  <si>
    <t>Rainham (111 miles)</t>
  </si>
  <si>
    <t>Walton On Thames (99 miles)</t>
  </si>
  <si>
    <t>Brentwood (111 miles)</t>
  </si>
  <si>
    <t>Milton Keynes (57 miles)</t>
  </si>
  <si>
    <t>TOTAL</t>
  </si>
  <si>
    <t xml:space="preserve">ASTON MARTIN VANTAGE </t>
  </si>
  <si>
    <t>Mean</t>
  </si>
  <si>
    <t>Standard Deviation</t>
  </si>
  <si>
    <t>Total</t>
  </si>
  <si>
    <t>Meadian</t>
  </si>
  <si>
    <t>Median</t>
  </si>
  <si>
    <t>Count of Body Colour</t>
  </si>
  <si>
    <t>Row Labels</t>
  </si>
  <si>
    <t>Grand Total</t>
  </si>
  <si>
    <t>Column Labels</t>
  </si>
  <si>
    <t>Sum of Mileage</t>
  </si>
  <si>
    <t>Confidence Level(95.0%)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</si>
  <si>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</si>
  <si>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</si>
  <si>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</si>
  <si>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</si>
  <si>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</si>
  <si>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</si>
  <si>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</si>
  <si>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</si>
  <si>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</si>
  <si>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</si>
  <si>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</si>
  <si>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</si>
  <si>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</si>
  <si>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</si>
  <si>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</si>
  <si>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</si>
  <si>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</si>
  <si>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t-Test: Two-Sample Assuming Equal Variances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</si>
  <si>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</si>
  <si>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</si>
  <si>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</si>
  <si>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</si>
  <si>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</si>
  <si>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</si>
  <si>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</si>
  <si>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</si>
  <si>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1995-2002</t>
  </si>
  <si>
    <t>2003-2010</t>
  </si>
  <si>
    <t>2011-2018</t>
  </si>
  <si>
    <t>2019-2025</t>
  </si>
  <si>
    <r>
      <t xml:space="preserve">Null Hypothesis (H0)- </t>
    </r>
    <r>
      <rPr>
        <sz val="11"/>
        <color theme="1"/>
        <rFont val="Calibri"/>
        <family val="2"/>
        <scheme val="minor"/>
      </rPr>
      <t>There is no significant difference in the mean car prices among the four registration year groups.</t>
    </r>
  </si>
  <si>
    <r>
      <t xml:space="preserve">Alternate Hypothesis (H1)- </t>
    </r>
    <r>
      <rPr>
        <sz val="11"/>
        <color theme="1"/>
        <rFont val="Calibri"/>
        <family val="2"/>
        <scheme val="minor"/>
      </rPr>
      <t>At least one group’s mean car price is significantly different from the others.</t>
    </r>
  </si>
  <si>
    <r>
      <t>F (29.71)</t>
    </r>
    <r>
      <rPr>
        <sz val="11"/>
        <color theme="1"/>
        <rFont val="Calibri"/>
        <family val="2"/>
        <scheme val="minor"/>
      </rPr>
      <t xml:space="preserve"> vs </t>
    </r>
    <r>
      <rPr>
        <b/>
        <sz val="11"/>
        <color theme="1"/>
        <rFont val="Calibri"/>
        <family val="2"/>
        <scheme val="minor"/>
      </rPr>
      <t>F crit (2.70)</t>
    </r>
  </si>
  <si>
    <t>Since:</t>
  </si>
  <si>
    <r>
      <t>F &gt; F crit</t>
    </r>
    <r>
      <rPr>
        <sz val="11"/>
        <color theme="1"/>
        <rFont val="Calibri"/>
        <family val="2"/>
        <scheme val="minor"/>
      </rPr>
      <t>, and</t>
    </r>
  </si>
  <si>
    <t>p-value &lt; 0.05</t>
  </si>
  <si>
    <t>Reject the Null Hypothesis</t>
  </si>
  <si>
    <r>
      <t xml:space="preserve">The year of registration (or age of the car) has a </t>
    </r>
    <r>
      <rPr>
        <b/>
        <sz val="11"/>
        <color theme="1"/>
        <rFont val="Calibri"/>
        <family val="2"/>
        <scheme val="minor"/>
      </rPr>
      <t>strong impact on its price</t>
    </r>
    <r>
      <rPr>
        <sz val="11"/>
        <color theme="1"/>
        <rFont val="Calibri"/>
        <family val="2"/>
        <scheme val="minor"/>
      </rPr>
      <t>.</t>
    </r>
  </si>
  <si>
    <r>
      <t xml:space="preserve">Newer cars (especially from 2019–2025) have </t>
    </r>
    <r>
      <rPr>
        <b/>
        <sz val="11"/>
        <color theme="1"/>
        <rFont val="Calibri"/>
        <family val="2"/>
        <scheme val="minor"/>
      </rPr>
      <t>significantly higher average prices</t>
    </r>
    <r>
      <rPr>
        <sz val="11"/>
        <color theme="1"/>
        <rFont val="Calibri"/>
        <family val="2"/>
        <scheme val="minor"/>
      </rPr>
      <t xml:space="preserve"> than older ones.</t>
    </r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</si>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</sst>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4" borderId="1" xfId="0" applyFill="1" applyBorder="1"/>
    <xf numFmtId="0" fontId="0" fillId="0" borderId="1" xfId="0" applyBorder="1"/>
    <xf numFmtId="3" fontId="0" fillId="4" borderId="1" xfId="0" applyNumberFormat="1" applyFill="1" applyBorder="1"/>
    <xf numFmtId="3" fontId="0" fillId="0" borderId="1" xfId="0" applyNumberFormat="1" applyBorder="1"/>
    <xf numFmtId="3" fontId="0" fillId="5" borderId="2" xfId="0" applyNumberFormat="1" applyFill="1" applyBorder="1"/>
    <xf numFmtId="3" fontId="0" fillId="6" borderId="2" xfId="0" applyNumberFormat="1" applyFill="1" applyBorder="1"/>
    <xf numFmtId="0" fontId="2" fillId="3" borderId="2" xfId="0" applyFont="1" applyFill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Continuous"/>
    </xf>
    <xf numFmtId="3" fontId="0" fillId="0" borderId="2" xfId="0" applyNumberFormat="1" applyBorder="1"/>
    <xf numFmtId="0" fontId="2" fillId="2" borderId="2" xfId="0" applyFont="1" applyFill="1" applyBorder="1" applyAlignment="1">
      <alignment horizontal="left"/>
    </xf>
    <xf numFmtId="8" fontId="0" fillId="0" borderId="2" xfId="0" applyNumberFormat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2" fillId="2" borderId="0" xfId="0" applyFont="1" applyFill="1"/>
    <xf numFmtId="3" fontId="0" fillId="0" borderId="5" xfId="0" applyNumberFormat="1" applyBorder="1"/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0" fillId="0" borderId="0" xfId="0" applyNumberFormat="1" applyFill="1" applyBorder="1"/>
    <xf numFmtId="1" fontId="0" fillId="0" borderId="0" xfId="0" applyNumberFormat="1" applyFill="1" applyBorder="1"/>
    <xf numFmtId="0" fontId="0" fillId="0" borderId="0" xfId="0" applyFill="1" applyBorder="1"/>
  </cellXfs>
  <cellStyles count="1">
    <cellStyle name="Normal" xfId="0" builtinId="0"/>
  </cellStyles>
  <dxfs count="4">
    <dxf>
      <numFmt numFmtId="3" formatCode="#,##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 VS Mileage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Data!$C$3</c:f>
              <c:strCache>
                <c:ptCount val="1"/>
                <c:pt idx="0">
                  <c:v>Mileage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Data!$C$4:$C$103</c:f>
              <c:numCache>
                <c:formatCode>0</c:formatCode>
                <c:ptCount val="100"/>
                <c:pt idx="0">
                  <c:v>69500</c:v>
                </c:pt>
                <c:pt idx="1">
                  <c:v>6500</c:v>
                </c:pt>
                <c:pt idx="2">
                  <c:v>51816</c:v>
                </c:pt>
                <c:pt idx="3">
                  <c:v>34467</c:v>
                </c:pt>
                <c:pt idx="4">
                  <c:v>1600</c:v>
                </c:pt>
                <c:pt idx="5">
                  <c:v>18150</c:v>
                </c:pt>
                <c:pt idx="6">
                  <c:v>37548</c:v>
                </c:pt>
                <c:pt idx="7">
                  <c:v>43000</c:v>
                </c:pt>
                <c:pt idx="8">
                  <c:v>73028</c:v>
                </c:pt>
                <c:pt idx="9">
                  <c:v>16752</c:v>
                </c:pt>
                <c:pt idx="10">
                  <c:v>27828</c:v>
                </c:pt>
                <c:pt idx="11">
                  <c:v>60686</c:v>
                </c:pt>
                <c:pt idx="12">
                  <c:v>66500</c:v>
                </c:pt>
                <c:pt idx="13">
                  <c:v>24457</c:v>
                </c:pt>
                <c:pt idx="14">
                  <c:v>31261</c:v>
                </c:pt>
                <c:pt idx="15">
                  <c:v>62500</c:v>
                </c:pt>
                <c:pt idx="16">
                  <c:v>10700</c:v>
                </c:pt>
                <c:pt idx="17">
                  <c:v>44256</c:v>
                </c:pt>
                <c:pt idx="18">
                  <c:v>30317</c:v>
                </c:pt>
                <c:pt idx="19">
                  <c:v>50000</c:v>
                </c:pt>
                <c:pt idx="20">
                  <c:v>22724</c:v>
                </c:pt>
                <c:pt idx="21">
                  <c:v>9207</c:v>
                </c:pt>
                <c:pt idx="22">
                  <c:v>31383</c:v>
                </c:pt>
                <c:pt idx="23">
                  <c:v>70000</c:v>
                </c:pt>
                <c:pt idx="24">
                  <c:v>32600</c:v>
                </c:pt>
                <c:pt idx="25">
                  <c:v>28960</c:v>
                </c:pt>
                <c:pt idx="26">
                  <c:v>48000</c:v>
                </c:pt>
                <c:pt idx="27">
                  <c:v>47000</c:v>
                </c:pt>
                <c:pt idx="28">
                  <c:v>25000</c:v>
                </c:pt>
                <c:pt idx="29">
                  <c:v>20746</c:v>
                </c:pt>
                <c:pt idx="30">
                  <c:v>26992</c:v>
                </c:pt>
                <c:pt idx="31">
                  <c:v>45800</c:v>
                </c:pt>
                <c:pt idx="32">
                  <c:v>38081</c:v>
                </c:pt>
                <c:pt idx="33">
                  <c:v>41100</c:v>
                </c:pt>
                <c:pt idx="34">
                  <c:v>16250</c:v>
                </c:pt>
                <c:pt idx="35">
                  <c:v>40400</c:v>
                </c:pt>
                <c:pt idx="36">
                  <c:v>38081</c:v>
                </c:pt>
                <c:pt idx="37">
                  <c:v>95445</c:v>
                </c:pt>
                <c:pt idx="38">
                  <c:v>37200</c:v>
                </c:pt>
                <c:pt idx="39">
                  <c:v>19000</c:v>
                </c:pt>
                <c:pt idx="40">
                  <c:v>69000</c:v>
                </c:pt>
                <c:pt idx="41">
                  <c:v>52500</c:v>
                </c:pt>
                <c:pt idx="42">
                  <c:v>23101</c:v>
                </c:pt>
                <c:pt idx="43">
                  <c:v>34901</c:v>
                </c:pt>
                <c:pt idx="44">
                  <c:v>17000</c:v>
                </c:pt>
                <c:pt idx="45">
                  <c:v>32008</c:v>
                </c:pt>
                <c:pt idx="46">
                  <c:v>10500</c:v>
                </c:pt>
                <c:pt idx="47">
                  <c:v>22000</c:v>
                </c:pt>
                <c:pt idx="48">
                  <c:v>12554</c:v>
                </c:pt>
                <c:pt idx="49">
                  <c:v>572</c:v>
                </c:pt>
                <c:pt idx="50">
                  <c:v>36980</c:v>
                </c:pt>
                <c:pt idx="51">
                  <c:v>18706</c:v>
                </c:pt>
                <c:pt idx="52">
                  <c:v>49800</c:v>
                </c:pt>
                <c:pt idx="53">
                  <c:v>16515</c:v>
                </c:pt>
                <c:pt idx="54">
                  <c:v>22757</c:v>
                </c:pt>
                <c:pt idx="55">
                  <c:v>79000</c:v>
                </c:pt>
                <c:pt idx="56">
                  <c:v>6733</c:v>
                </c:pt>
                <c:pt idx="57">
                  <c:v>51000</c:v>
                </c:pt>
                <c:pt idx="58">
                  <c:v>36667</c:v>
                </c:pt>
                <c:pt idx="59">
                  <c:v>7000</c:v>
                </c:pt>
                <c:pt idx="60">
                  <c:v>48260</c:v>
                </c:pt>
                <c:pt idx="61">
                  <c:v>17500</c:v>
                </c:pt>
                <c:pt idx="62">
                  <c:v>9971</c:v>
                </c:pt>
                <c:pt idx="63">
                  <c:v>1986</c:v>
                </c:pt>
                <c:pt idx="64">
                  <c:v>15736</c:v>
                </c:pt>
                <c:pt idx="65">
                  <c:v>28700</c:v>
                </c:pt>
                <c:pt idx="66">
                  <c:v>69012</c:v>
                </c:pt>
                <c:pt idx="67">
                  <c:v>14500</c:v>
                </c:pt>
                <c:pt idx="68">
                  <c:v>19300</c:v>
                </c:pt>
                <c:pt idx="69">
                  <c:v>6231</c:v>
                </c:pt>
                <c:pt idx="70">
                  <c:v>19895</c:v>
                </c:pt>
                <c:pt idx="71">
                  <c:v>15074</c:v>
                </c:pt>
                <c:pt idx="72" formatCode="#,##0">
                  <c:v>22975</c:v>
                </c:pt>
                <c:pt idx="73">
                  <c:v>18114</c:v>
                </c:pt>
                <c:pt idx="74">
                  <c:v>63000</c:v>
                </c:pt>
                <c:pt idx="75">
                  <c:v>25435</c:v>
                </c:pt>
                <c:pt idx="76">
                  <c:v>9900</c:v>
                </c:pt>
                <c:pt idx="77">
                  <c:v>18114</c:v>
                </c:pt>
                <c:pt idx="78">
                  <c:v>52638</c:v>
                </c:pt>
                <c:pt idx="79">
                  <c:v>6006</c:v>
                </c:pt>
                <c:pt idx="80">
                  <c:v>1251</c:v>
                </c:pt>
                <c:pt idx="81">
                  <c:v>26900</c:v>
                </c:pt>
                <c:pt idx="82">
                  <c:v>8200</c:v>
                </c:pt>
                <c:pt idx="83" formatCode="#,##0">
                  <c:v>3500</c:v>
                </c:pt>
                <c:pt idx="84">
                  <c:v>35900</c:v>
                </c:pt>
                <c:pt idx="85">
                  <c:v>30793</c:v>
                </c:pt>
                <c:pt idx="86">
                  <c:v>15750</c:v>
                </c:pt>
                <c:pt idx="87">
                  <c:v>38704</c:v>
                </c:pt>
                <c:pt idx="88">
                  <c:v>3065</c:v>
                </c:pt>
                <c:pt idx="89">
                  <c:v>1939</c:v>
                </c:pt>
                <c:pt idx="90">
                  <c:v>7521</c:v>
                </c:pt>
                <c:pt idx="91">
                  <c:v>8938</c:v>
                </c:pt>
                <c:pt idx="92">
                  <c:v>4850</c:v>
                </c:pt>
                <c:pt idx="93">
                  <c:v>36000</c:v>
                </c:pt>
                <c:pt idx="94">
                  <c:v>27000</c:v>
                </c:pt>
                <c:pt idx="95">
                  <c:v>36495</c:v>
                </c:pt>
                <c:pt idx="96">
                  <c:v>395</c:v>
                </c:pt>
                <c:pt idx="97">
                  <c:v>3418</c:v>
                </c:pt>
                <c:pt idx="98">
                  <c:v>3751</c:v>
                </c:pt>
                <c:pt idx="99">
                  <c:v>41800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72-483A-B19D-18D2F86E58E0}"/>
            </c:ext>
          </c:extLst>
        </c:ser>
        <c:ser>
          <c:idx val="2"/>
          <c:order val="2"/>
          <c:tx>
            <c:strRef>
              <c:f>Data!$G$3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Data!$G$4:$G$103</c:f>
              <c:numCache>
                <c:formatCode>#,##0</c:formatCode>
                <c:ptCount val="100"/>
                <c:pt idx="0">
                  <c:v>23995</c:v>
                </c:pt>
                <c:pt idx="1">
                  <c:v>69500</c:v>
                </c:pt>
                <c:pt idx="2">
                  <c:v>24995</c:v>
                </c:pt>
                <c:pt idx="3">
                  <c:v>29979</c:v>
                </c:pt>
                <c:pt idx="4">
                  <c:v>113995</c:v>
                </c:pt>
                <c:pt idx="5">
                  <c:v>76995</c:v>
                </c:pt>
                <c:pt idx="6">
                  <c:v>29999</c:v>
                </c:pt>
                <c:pt idx="7">
                  <c:v>39950</c:v>
                </c:pt>
                <c:pt idx="8">
                  <c:v>19995</c:v>
                </c:pt>
                <c:pt idx="9">
                  <c:v>69990</c:v>
                </c:pt>
                <c:pt idx="10">
                  <c:v>78995</c:v>
                </c:pt>
                <c:pt idx="11">
                  <c:v>26995</c:v>
                </c:pt>
                <c:pt idx="12">
                  <c:v>24950</c:v>
                </c:pt>
                <c:pt idx="13">
                  <c:v>36995</c:v>
                </c:pt>
                <c:pt idx="14">
                  <c:v>36940</c:v>
                </c:pt>
                <c:pt idx="15">
                  <c:v>38500</c:v>
                </c:pt>
                <c:pt idx="16">
                  <c:v>127995</c:v>
                </c:pt>
                <c:pt idx="17">
                  <c:v>68990</c:v>
                </c:pt>
                <c:pt idx="18">
                  <c:v>44900</c:v>
                </c:pt>
                <c:pt idx="19">
                  <c:v>26995</c:v>
                </c:pt>
                <c:pt idx="20">
                  <c:v>33970</c:v>
                </c:pt>
                <c:pt idx="21">
                  <c:v>89950</c:v>
                </c:pt>
                <c:pt idx="22">
                  <c:v>44490</c:v>
                </c:pt>
                <c:pt idx="23">
                  <c:v>26495</c:v>
                </c:pt>
                <c:pt idx="24">
                  <c:v>76250</c:v>
                </c:pt>
                <c:pt idx="25">
                  <c:v>66499</c:v>
                </c:pt>
                <c:pt idx="26">
                  <c:v>73480</c:v>
                </c:pt>
                <c:pt idx="27">
                  <c:v>28990</c:v>
                </c:pt>
                <c:pt idx="28">
                  <c:v>69950</c:v>
                </c:pt>
                <c:pt idx="29">
                  <c:v>43599</c:v>
                </c:pt>
                <c:pt idx="30">
                  <c:v>43900</c:v>
                </c:pt>
                <c:pt idx="31">
                  <c:v>34500</c:v>
                </c:pt>
                <c:pt idx="32">
                  <c:v>39995</c:v>
                </c:pt>
                <c:pt idx="33">
                  <c:v>29975</c:v>
                </c:pt>
                <c:pt idx="34">
                  <c:v>59900</c:v>
                </c:pt>
                <c:pt idx="35">
                  <c:v>47990</c:v>
                </c:pt>
                <c:pt idx="36">
                  <c:v>39995</c:v>
                </c:pt>
                <c:pt idx="37">
                  <c:v>27892</c:v>
                </c:pt>
                <c:pt idx="38">
                  <c:v>74900</c:v>
                </c:pt>
                <c:pt idx="39">
                  <c:v>76950</c:v>
                </c:pt>
                <c:pt idx="40">
                  <c:v>26950</c:v>
                </c:pt>
                <c:pt idx="41">
                  <c:v>22250</c:v>
                </c:pt>
                <c:pt idx="42">
                  <c:v>81000</c:v>
                </c:pt>
                <c:pt idx="43">
                  <c:v>29990</c:v>
                </c:pt>
                <c:pt idx="44">
                  <c:v>159950</c:v>
                </c:pt>
                <c:pt idx="45">
                  <c:v>28995</c:v>
                </c:pt>
                <c:pt idx="46">
                  <c:v>96900</c:v>
                </c:pt>
                <c:pt idx="47">
                  <c:v>75480</c:v>
                </c:pt>
                <c:pt idx="48">
                  <c:v>77950</c:v>
                </c:pt>
                <c:pt idx="49">
                  <c:v>149950</c:v>
                </c:pt>
                <c:pt idx="50">
                  <c:v>31980</c:v>
                </c:pt>
                <c:pt idx="51">
                  <c:v>39988</c:v>
                </c:pt>
                <c:pt idx="52">
                  <c:v>34995</c:v>
                </c:pt>
                <c:pt idx="53">
                  <c:v>47950</c:v>
                </c:pt>
                <c:pt idx="54">
                  <c:v>49000</c:v>
                </c:pt>
                <c:pt idx="55">
                  <c:v>27950</c:v>
                </c:pt>
                <c:pt idx="56">
                  <c:v>109995</c:v>
                </c:pt>
                <c:pt idx="57">
                  <c:v>27995</c:v>
                </c:pt>
                <c:pt idx="58">
                  <c:v>29995</c:v>
                </c:pt>
                <c:pt idx="59">
                  <c:v>88480</c:v>
                </c:pt>
                <c:pt idx="60">
                  <c:v>29999</c:v>
                </c:pt>
                <c:pt idx="61">
                  <c:v>71888</c:v>
                </c:pt>
                <c:pt idx="62">
                  <c:v>129995</c:v>
                </c:pt>
                <c:pt idx="63">
                  <c:v>152950</c:v>
                </c:pt>
                <c:pt idx="64">
                  <c:v>79995</c:v>
                </c:pt>
                <c:pt idx="65">
                  <c:v>39000</c:v>
                </c:pt>
                <c:pt idx="66">
                  <c:v>19995</c:v>
                </c:pt>
                <c:pt idx="67">
                  <c:v>77500</c:v>
                </c:pt>
                <c:pt idx="68">
                  <c:v>66995</c:v>
                </c:pt>
                <c:pt idx="69">
                  <c:v>109950</c:v>
                </c:pt>
                <c:pt idx="70">
                  <c:v>47900</c:v>
                </c:pt>
                <c:pt idx="71">
                  <c:v>78795</c:v>
                </c:pt>
                <c:pt idx="72">
                  <c:v>51990</c:v>
                </c:pt>
                <c:pt idx="73">
                  <c:v>89950</c:v>
                </c:pt>
                <c:pt idx="74">
                  <c:v>24500</c:v>
                </c:pt>
                <c:pt idx="75">
                  <c:v>40000</c:v>
                </c:pt>
                <c:pt idx="76">
                  <c:v>71750</c:v>
                </c:pt>
                <c:pt idx="77">
                  <c:v>89950</c:v>
                </c:pt>
                <c:pt idx="78">
                  <c:v>29995</c:v>
                </c:pt>
                <c:pt idx="79">
                  <c:v>84990</c:v>
                </c:pt>
                <c:pt idx="80">
                  <c:v>175000</c:v>
                </c:pt>
                <c:pt idx="81">
                  <c:v>29500</c:v>
                </c:pt>
                <c:pt idx="82">
                  <c:v>95990</c:v>
                </c:pt>
                <c:pt idx="83">
                  <c:v>168999</c:v>
                </c:pt>
                <c:pt idx="84">
                  <c:v>60000</c:v>
                </c:pt>
                <c:pt idx="85">
                  <c:v>34995</c:v>
                </c:pt>
                <c:pt idx="86">
                  <c:v>89990</c:v>
                </c:pt>
                <c:pt idx="87">
                  <c:v>42950</c:v>
                </c:pt>
                <c:pt idx="88">
                  <c:v>217950</c:v>
                </c:pt>
                <c:pt idx="89">
                  <c:v>169995</c:v>
                </c:pt>
                <c:pt idx="90">
                  <c:v>284950</c:v>
                </c:pt>
                <c:pt idx="91">
                  <c:v>109990</c:v>
                </c:pt>
                <c:pt idx="92">
                  <c:v>114995</c:v>
                </c:pt>
                <c:pt idx="93">
                  <c:v>39950</c:v>
                </c:pt>
                <c:pt idx="94">
                  <c:v>27000</c:v>
                </c:pt>
                <c:pt idx="95">
                  <c:v>36500</c:v>
                </c:pt>
                <c:pt idx="96">
                  <c:v>198995</c:v>
                </c:pt>
                <c:pt idx="97">
                  <c:v>126990</c:v>
                </c:pt>
                <c:pt idx="98">
                  <c:v>109900</c:v>
                </c:pt>
                <c:pt idx="99">
                  <c:v>159950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72-483A-B19D-18D2F86E5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973391"/>
        <c:axId val="4619815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Data!$G$4</c15:sqref>
                        </c15:formulaRef>
                      </c:ext>
                    </c:extLst>
                    <c:strCache>
                      <c:ptCount val="1"/>
                      <c:pt idx="0">
                        <c:v>23,995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Data!$G$5:$G$103</c15:sqref>
                        </c15:formulaRef>
                      </c:ext>
                    </c:extLst>
                    <c:numCache>
                      <c:formatCode>#,##0</c:formatCode>
                      <c:ptCount val="99"/>
                      <c:pt idx="0">
                        <c:v>69500</c:v>
                      </c:pt>
                      <c:pt idx="1">
                        <c:v>24995</c:v>
                      </c:pt>
                      <c:pt idx="2">
                        <c:v>29979</c:v>
                      </c:pt>
                      <c:pt idx="3">
                        <c:v>113995</c:v>
                      </c:pt>
                      <c:pt idx="4">
                        <c:v>76995</c:v>
                      </c:pt>
                      <c:pt idx="5">
                        <c:v>29999</c:v>
                      </c:pt>
                      <c:pt idx="6">
                        <c:v>39950</c:v>
                      </c:pt>
                      <c:pt idx="7">
                        <c:v>19995</c:v>
                      </c:pt>
                      <c:pt idx="8">
                        <c:v>69990</c:v>
                      </c:pt>
                      <c:pt idx="9">
                        <c:v>78995</c:v>
                      </c:pt>
                      <c:pt idx="10">
                        <c:v>26995</c:v>
                      </c:pt>
                      <c:pt idx="11">
                        <c:v>24950</c:v>
                      </c:pt>
                      <c:pt idx="12">
                        <c:v>36995</c:v>
                      </c:pt>
                      <c:pt idx="13">
                        <c:v>36940</c:v>
                      </c:pt>
                      <c:pt idx="14">
                        <c:v>38500</c:v>
                      </c:pt>
                      <c:pt idx="15">
                        <c:v>127995</c:v>
                      </c:pt>
                      <c:pt idx="16">
                        <c:v>68990</c:v>
                      </c:pt>
                      <c:pt idx="17">
                        <c:v>44900</c:v>
                      </c:pt>
                      <c:pt idx="18">
                        <c:v>26995</c:v>
                      </c:pt>
                      <c:pt idx="19">
                        <c:v>33970</c:v>
                      </c:pt>
                      <c:pt idx="20">
                        <c:v>89950</c:v>
                      </c:pt>
                      <c:pt idx="21">
                        <c:v>44490</c:v>
                      </c:pt>
                      <c:pt idx="22">
                        <c:v>26495</c:v>
                      </c:pt>
                      <c:pt idx="23">
                        <c:v>76250</c:v>
                      </c:pt>
                      <c:pt idx="24">
                        <c:v>66499</c:v>
                      </c:pt>
                      <c:pt idx="25">
                        <c:v>73480</c:v>
                      </c:pt>
                      <c:pt idx="26">
                        <c:v>28990</c:v>
                      </c:pt>
                      <c:pt idx="27">
                        <c:v>69950</c:v>
                      </c:pt>
                      <c:pt idx="28">
                        <c:v>43599</c:v>
                      </c:pt>
                      <c:pt idx="29">
                        <c:v>43900</c:v>
                      </c:pt>
                      <c:pt idx="30">
                        <c:v>34500</c:v>
                      </c:pt>
                      <c:pt idx="31">
                        <c:v>39995</c:v>
                      </c:pt>
                      <c:pt idx="32">
                        <c:v>29975</c:v>
                      </c:pt>
                      <c:pt idx="33">
                        <c:v>59900</c:v>
                      </c:pt>
                      <c:pt idx="34">
                        <c:v>47990</c:v>
                      </c:pt>
                      <c:pt idx="35">
                        <c:v>39995</c:v>
                      </c:pt>
                      <c:pt idx="36">
                        <c:v>27892</c:v>
                      </c:pt>
                      <c:pt idx="37">
                        <c:v>74900</c:v>
                      </c:pt>
                      <c:pt idx="38">
                        <c:v>76950</c:v>
                      </c:pt>
                      <c:pt idx="39">
                        <c:v>26950</c:v>
                      </c:pt>
                      <c:pt idx="40">
                        <c:v>22250</c:v>
                      </c:pt>
                      <c:pt idx="41">
                        <c:v>81000</c:v>
                      </c:pt>
                      <c:pt idx="42">
                        <c:v>29990</c:v>
                      </c:pt>
                      <c:pt idx="43">
                        <c:v>159950</c:v>
                      </c:pt>
                      <c:pt idx="44">
                        <c:v>28995</c:v>
                      </c:pt>
                      <c:pt idx="45">
                        <c:v>96900</c:v>
                      </c:pt>
                      <c:pt idx="46">
                        <c:v>75480</c:v>
                      </c:pt>
                      <c:pt idx="47">
                        <c:v>77950</c:v>
                      </c:pt>
                      <c:pt idx="48">
                        <c:v>149950</c:v>
                      </c:pt>
                      <c:pt idx="49">
                        <c:v>31980</c:v>
                      </c:pt>
                      <c:pt idx="50">
                        <c:v>39988</c:v>
                      </c:pt>
                      <c:pt idx="51">
                        <c:v>34995</c:v>
                      </c:pt>
                      <c:pt idx="52">
                        <c:v>47950</c:v>
                      </c:pt>
                      <c:pt idx="53">
                        <c:v>49000</c:v>
                      </c:pt>
                      <c:pt idx="54">
                        <c:v>27950</c:v>
                      </c:pt>
                      <c:pt idx="55">
                        <c:v>109995</c:v>
                      </c:pt>
                      <c:pt idx="56">
                        <c:v>27995</c:v>
                      </c:pt>
                      <c:pt idx="57">
                        <c:v>29995</c:v>
                      </c:pt>
                      <c:pt idx="58">
                        <c:v>88480</c:v>
                      </c:pt>
                      <c:pt idx="59">
                        <c:v>29999</c:v>
                      </c:pt>
                      <c:pt idx="60">
                        <c:v>71888</c:v>
                      </c:pt>
                      <c:pt idx="61">
                        <c:v>129995</c:v>
                      </c:pt>
                      <c:pt idx="62">
                        <c:v>152950</c:v>
                      </c:pt>
                      <c:pt idx="63">
                        <c:v>79995</c:v>
                      </c:pt>
                      <c:pt idx="64">
                        <c:v>39000</c:v>
                      </c:pt>
                      <c:pt idx="65">
                        <c:v>19995</c:v>
                      </c:pt>
                      <c:pt idx="66">
                        <c:v>77500</c:v>
                      </c:pt>
                      <c:pt idx="67">
                        <c:v>66995</c:v>
                      </c:pt>
                      <c:pt idx="68">
                        <c:v>109950</c:v>
                      </c:pt>
                      <c:pt idx="69">
                        <c:v>47900</c:v>
                      </c:pt>
                      <c:pt idx="70">
                        <c:v>78795</c:v>
                      </c:pt>
                      <c:pt idx="71">
                        <c:v>51990</c:v>
                      </c:pt>
                      <c:pt idx="72">
                        <c:v>89950</c:v>
                      </c:pt>
                      <c:pt idx="73">
                        <c:v>24500</c:v>
                      </c:pt>
                      <c:pt idx="74">
                        <c:v>40000</c:v>
                      </c:pt>
                      <c:pt idx="75">
                        <c:v>71750</c:v>
                      </c:pt>
                      <c:pt idx="76">
                        <c:v>89950</c:v>
                      </c:pt>
                      <c:pt idx="77">
                        <c:v>29995</c:v>
                      </c:pt>
                      <c:pt idx="78">
                        <c:v>84990</c:v>
                      </c:pt>
                      <c:pt idx="79">
                        <c:v>175000</c:v>
                      </c:pt>
                      <c:pt idx="80">
                        <c:v>29500</c:v>
                      </c:pt>
                      <c:pt idx="81">
                        <c:v>95990</c:v>
                      </c:pt>
                      <c:pt idx="82">
                        <c:v>168999</c:v>
                      </c:pt>
                      <c:pt idx="83">
                        <c:v>60000</c:v>
                      </c:pt>
                      <c:pt idx="84">
                        <c:v>34995</c:v>
                      </c:pt>
                      <c:pt idx="85">
                        <c:v>89990</c:v>
                      </c:pt>
                      <c:pt idx="86">
                        <c:v>42950</c:v>
                      </c:pt>
                      <c:pt idx="87">
                        <c:v>217950</c:v>
                      </c:pt>
                      <c:pt idx="88">
                        <c:v>169995</c:v>
                      </c:pt>
                      <c:pt idx="89">
                        <c:v>284950</c:v>
                      </c:pt>
                      <c:pt idx="90">
                        <c:v>109990</c:v>
                      </c:pt>
                      <c:pt idx="91">
                        <c:v>114995</c:v>
                      </c:pt>
                      <c:pt idx="92">
                        <c:v>39950</c:v>
                      </c:pt>
                      <c:pt idx="93">
                        <c:v>27000</c:v>
                      </c:pt>
                      <c:pt idx="94">
                        <c:v>36500</c:v>
                      </c:pt>
                      <c:pt idx="95">
                        <c:v>198995</c:v>
                      </c:pt>
                      <c:pt idx="96">
                        <c:v>126990</c:v>
                      </c:pt>
                      <c:pt idx="97">
                        <c:v>109900</c:v>
                      </c:pt>
                      <c:pt idx="98">
                        <c:v>159950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5E72-483A-B19D-18D2F86E58E0}"/>
                  </c:ext>
                </c:extLst>
              </c15:ser>
            </c15:filteredScatterSeries>
          </c:ext>
        </c:extLst>
      </c:scatterChart>
      <c:valAx>
        <c:axId val="46197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81551"/>
        <c:crosses val="autoZero"/>
        <c:crossBetween val="midCat"/>
      </c:valAx>
      <c:valAx>
        <c:axId val="4619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7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[Descriptive Data.xlsx]Graph!PivotTable5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Body Colour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Graph!$I$2:$I$8</c:f>
              <c:strCache>
                <c:ptCount val="7"/>
                <c:pt idx="0">
                  <c:v>Black</c:v>
                </c:pt>
                <c:pt idx="1">
                  <c:v>Blue</c:v>
                </c:pt>
                <c:pt idx="2">
                  <c:v>Green</c:v>
                </c:pt>
                <c:pt idx="3">
                  <c:v>Grey</c:v>
                </c:pt>
                <c:pt idx="4">
                  <c:v>Red</c:v>
                </c:pt>
                <c:pt idx="5">
                  <c:v>Silver</c:v>
                </c:pt>
                <c:pt idx="6">
                  <c:v>White</c:v>
                </c:pt>
              </c:strCache>
            </c:strRef>
          </c:cat>
          <c:val>
            <c:numRef>
              <c:f>Graph!$J$2:$J$8</c:f>
              <c:numCache>
                <c:formatCode>General</c:formatCode>
                <c:ptCount val="7"/>
                <c:pt idx="0">
                  <c:v>26</c:v>
                </c:pt>
                <c:pt idx="1">
                  <c:v>9</c:v>
                </c:pt>
                <c:pt idx="2">
                  <c:v>11</c:v>
                </c:pt>
                <c:pt idx="3">
                  <c:v>14</c:v>
                </c:pt>
                <c:pt idx="4">
                  <c:v>5</c:v>
                </c:pt>
                <c:pt idx="5">
                  <c:v>23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4-47E6-BDDB-5C7680012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2253295"/>
        <c:axId val="1732248015"/>
      </c:barChart>
      <c:catAx>
        <c:axId val="173225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48015"/>
        <c:crosses val="autoZero"/>
        <c:auto val="1"/>
        <c:lblAlgn val="ctr"/>
        <c:lblOffset val="100"/>
        <c:noMultiLvlLbl val="0"/>
      </c:catAx>
      <c:valAx>
        <c:axId val="173224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Automatic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Sheet1!$G$2:$G$69</c:f>
              <c:numCache>
                <c:formatCode>#,##0</c:formatCode>
                <c:ptCount val="68"/>
                <c:pt idx="0">
                  <c:v>69500</c:v>
                </c:pt>
                <c:pt idx="1">
                  <c:v>113995</c:v>
                </c:pt>
                <c:pt idx="2">
                  <c:v>76995</c:v>
                </c:pt>
                <c:pt idx="3">
                  <c:v>39950</c:v>
                </c:pt>
                <c:pt idx="4">
                  <c:v>78995</c:v>
                </c:pt>
                <c:pt idx="5">
                  <c:v>26995</c:v>
                </c:pt>
                <c:pt idx="6">
                  <c:v>36995</c:v>
                </c:pt>
                <c:pt idx="7">
                  <c:v>36940</c:v>
                </c:pt>
                <c:pt idx="8">
                  <c:v>127995</c:v>
                </c:pt>
                <c:pt idx="9">
                  <c:v>68990</c:v>
                </c:pt>
                <c:pt idx="10">
                  <c:v>26995</c:v>
                </c:pt>
                <c:pt idx="11">
                  <c:v>33970</c:v>
                </c:pt>
                <c:pt idx="12">
                  <c:v>44490</c:v>
                </c:pt>
                <c:pt idx="13">
                  <c:v>76250</c:v>
                </c:pt>
                <c:pt idx="14">
                  <c:v>66499</c:v>
                </c:pt>
                <c:pt idx="15">
                  <c:v>73480</c:v>
                </c:pt>
                <c:pt idx="16">
                  <c:v>28990</c:v>
                </c:pt>
                <c:pt idx="17">
                  <c:v>69950</c:v>
                </c:pt>
                <c:pt idx="18">
                  <c:v>43900</c:v>
                </c:pt>
                <c:pt idx="19">
                  <c:v>39995</c:v>
                </c:pt>
                <c:pt idx="20">
                  <c:v>29975</c:v>
                </c:pt>
                <c:pt idx="21">
                  <c:v>59900</c:v>
                </c:pt>
                <c:pt idx="22">
                  <c:v>47990</c:v>
                </c:pt>
                <c:pt idx="23">
                  <c:v>39995</c:v>
                </c:pt>
                <c:pt idx="24">
                  <c:v>74900</c:v>
                </c:pt>
                <c:pt idx="25">
                  <c:v>76950</c:v>
                </c:pt>
                <c:pt idx="26">
                  <c:v>26950</c:v>
                </c:pt>
                <c:pt idx="27">
                  <c:v>81000</c:v>
                </c:pt>
                <c:pt idx="28">
                  <c:v>96900</c:v>
                </c:pt>
                <c:pt idx="29">
                  <c:v>75480</c:v>
                </c:pt>
                <c:pt idx="30">
                  <c:v>77950</c:v>
                </c:pt>
                <c:pt idx="31">
                  <c:v>149950</c:v>
                </c:pt>
                <c:pt idx="32">
                  <c:v>31980</c:v>
                </c:pt>
                <c:pt idx="33">
                  <c:v>39988</c:v>
                </c:pt>
                <c:pt idx="34">
                  <c:v>47950</c:v>
                </c:pt>
                <c:pt idx="35">
                  <c:v>49000</c:v>
                </c:pt>
                <c:pt idx="36">
                  <c:v>109995</c:v>
                </c:pt>
                <c:pt idx="37">
                  <c:v>88480</c:v>
                </c:pt>
                <c:pt idx="38">
                  <c:v>71888</c:v>
                </c:pt>
                <c:pt idx="39">
                  <c:v>152950</c:v>
                </c:pt>
                <c:pt idx="40">
                  <c:v>39000</c:v>
                </c:pt>
                <c:pt idx="41">
                  <c:v>19995</c:v>
                </c:pt>
                <c:pt idx="42">
                  <c:v>77500</c:v>
                </c:pt>
                <c:pt idx="43">
                  <c:v>109950</c:v>
                </c:pt>
                <c:pt idx="44">
                  <c:v>78795</c:v>
                </c:pt>
                <c:pt idx="45">
                  <c:v>51990</c:v>
                </c:pt>
                <c:pt idx="46">
                  <c:v>89950</c:v>
                </c:pt>
                <c:pt idx="47">
                  <c:v>24500</c:v>
                </c:pt>
                <c:pt idx="48">
                  <c:v>40000</c:v>
                </c:pt>
                <c:pt idx="49">
                  <c:v>71750</c:v>
                </c:pt>
                <c:pt idx="50">
                  <c:v>89950</c:v>
                </c:pt>
                <c:pt idx="51">
                  <c:v>84990</c:v>
                </c:pt>
                <c:pt idx="52">
                  <c:v>175000</c:v>
                </c:pt>
                <c:pt idx="53">
                  <c:v>29500</c:v>
                </c:pt>
                <c:pt idx="54">
                  <c:v>168999</c:v>
                </c:pt>
                <c:pt idx="55">
                  <c:v>34995</c:v>
                </c:pt>
                <c:pt idx="56">
                  <c:v>89990</c:v>
                </c:pt>
                <c:pt idx="57">
                  <c:v>42950</c:v>
                </c:pt>
                <c:pt idx="58">
                  <c:v>217950</c:v>
                </c:pt>
                <c:pt idx="59">
                  <c:v>169995</c:v>
                </c:pt>
                <c:pt idx="60">
                  <c:v>284950</c:v>
                </c:pt>
                <c:pt idx="61">
                  <c:v>109990</c:v>
                </c:pt>
                <c:pt idx="62">
                  <c:v>114995</c:v>
                </c:pt>
                <c:pt idx="63">
                  <c:v>39950</c:v>
                </c:pt>
                <c:pt idx="64">
                  <c:v>36500</c:v>
                </c:pt>
                <c:pt idx="65">
                  <c:v>198995</c:v>
                </c:pt>
                <c:pt idx="66">
                  <c:v>126990</c:v>
                </c:pt>
                <c:pt idx="67">
                  <c:v>109900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6-4AD1-B950-717B4EA00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8399"/>
        <c:axId val="28493599"/>
      </c:areaChart>
      <c:catAx>
        <c:axId val="284983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3599"/>
        <c:crosses val="autoZero"/>
        <c:auto val="1"/>
        <c:lblAlgn val="ctr"/>
        <c:lblOffset val="100"/>
        <c:noMultiLvlLbl val="0"/>
      </c:catAx>
      <c:valAx>
        <c:axId val="284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Manual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Sheet1!$F$2:$F$69</c:f>
              <c:numCache>
                <c:formatCode>#,##0</c:formatCode>
                <c:ptCount val="68"/>
                <c:pt idx="0">
                  <c:v>23995</c:v>
                </c:pt>
                <c:pt idx="1">
                  <c:v>24995</c:v>
                </c:pt>
                <c:pt idx="2">
                  <c:v>29979</c:v>
                </c:pt>
                <c:pt idx="3">
                  <c:v>29999</c:v>
                </c:pt>
                <c:pt idx="4">
                  <c:v>19995</c:v>
                </c:pt>
                <c:pt idx="5">
                  <c:v>69990</c:v>
                </c:pt>
                <c:pt idx="6">
                  <c:v>24950</c:v>
                </c:pt>
                <c:pt idx="7">
                  <c:v>38500</c:v>
                </c:pt>
                <c:pt idx="8">
                  <c:v>44900</c:v>
                </c:pt>
                <c:pt idx="9">
                  <c:v>89950</c:v>
                </c:pt>
                <c:pt idx="10">
                  <c:v>26495</c:v>
                </c:pt>
                <c:pt idx="11">
                  <c:v>43599</c:v>
                </c:pt>
                <c:pt idx="12">
                  <c:v>34500</c:v>
                </c:pt>
                <c:pt idx="13">
                  <c:v>27892</c:v>
                </c:pt>
                <c:pt idx="14">
                  <c:v>22250</c:v>
                </c:pt>
                <c:pt idx="15">
                  <c:v>29990</c:v>
                </c:pt>
                <c:pt idx="16">
                  <c:v>159950</c:v>
                </c:pt>
                <c:pt idx="17">
                  <c:v>28995</c:v>
                </c:pt>
                <c:pt idx="18">
                  <c:v>34995</c:v>
                </c:pt>
                <c:pt idx="19">
                  <c:v>27950</c:v>
                </c:pt>
                <c:pt idx="20">
                  <c:v>27995</c:v>
                </c:pt>
                <c:pt idx="21">
                  <c:v>29995</c:v>
                </c:pt>
                <c:pt idx="22">
                  <c:v>29999</c:v>
                </c:pt>
                <c:pt idx="23">
                  <c:v>129995</c:v>
                </c:pt>
                <c:pt idx="24">
                  <c:v>79995</c:v>
                </c:pt>
                <c:pt idx="25">
                  <c:v>66995</c:v>
                </c:pt>
                <c:pt idx="26">
                  <c:v>47900</c:v>
                </c:pt>
                <c:pt idx="27">
                  <c:v>29995</c:v>
                </c:pt>
                <c:pt idx="28">
                  <c:v>95990</c:v>
                </c:pt>
                <c:pt idx="29">
                  <c:v>60000</c:v>
                </c:pt>
                <c:pt idx="30">
                  <c:v>27000</c:v>
                </c:pt>
                <c:pt idx="31">
                  <c:v>159950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0-4F9F-B6F9-233DC2EB0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245919"/>
        <c:axId val="311243999"/>
      </c:lineChart>
      <c:catAx>
        <c:axId val="31124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43999"/>
        <c:crosses val="autoZero"/>
        <c:auto val="1"/>
        <c:lblAlgn val="ctr"/>
        <c:lblOffset val="100"/>
        <c:noMultiLvlLbl val="0"/>
      </c:catAx>
      <c:valAx>
        <c:axId val="3112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9460E27F-AC37-4B63-8CA6-09C3797BE180}">
          <cx:tx>
            <cx:txData>
              <cx:f>_xlchart.v1.0</cx:f>
              <cx:v>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ysClr val="windowText" lastClr="000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59871</xdr:colOff>
      <xdr:row>0</xdr:row>
      <xdr:rowOff>54429</xdr:rowOff>
    </xdr:from>
    <xdr:to>
      <xdr:col>7</xdr:col>
      <xdr:colOff>65733</xdr:colOff>
      <xdr:row>14</xdr:row>
      <xdr:rowOff>180452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8AD0F-11A9-4C21-AA3F-D404F9F56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54429</xdr:colOff>
      <xdr:row>0</xdr:row>
      <xdr:rowOff>65313</xdr:rowOff>
    </xdr:from>
    <xdr:to>
      <xdr:col>17</xdr:col>
      <xdr:colOff>54429</xdr:colOff>
      <xdr:row>15</xdr:row>
      <xdr:rowOff>32656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14114-1F96-48F5-839F-B28748F61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65314</xdr:colOff>
      <xdr:row>17</xdr:row>
      <xdr:rowOff>10886</xdr:rowOff>
    </xdr:from>
    <xdr:to>
      <xdr:col>7</xdr:col>
      <xdr:colOff>65314</xdr:colOff>
      <xdr:row>31</xdr:row>
      <xdr:rowOff>163286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947D865-E34A-484E-8487-975133ABB9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14" y="315685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54428</xdr:colOff>
      <xdr:row>34</xdr:row>
      <xdr:rowOff>5443</xdr:rowOff>
    </xdr:from>
    <xdr:to>
      <xdr:col>7</xdr:col>
      <xdr:colOff>54428</xdr:colOff>
      <xdr:row>48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6A087E-8E33-492B-9DF0-1E16E0428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34</xdr:row>
      <xdr:rowOff>0</xdr:rowOff>
    </xdr:from>
    <xdr:to>
      <xdr:col>15</xdr:col>
      <xdr:colOff>560614</xdr:colOff>
      <xdr:row>48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0CC8C7-7319-4233-878D-949BEE093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ruddhi Pathak" refreshedDate="45962.05185787037" createdVersion="8" refreshedVersion="8" minRefreshableVersion="3" recordCount="100" xr:uid="{713AC824-B726-441D-ADE3-693E9A7DA68E}">
  <cacheSource type="worksheet">
    <worksheetSource name="Table1"/>
  </cacheSource>
  <cacheFields count="7">
    <cacheField name="ID" numFmtId="0">
      <sharedItems containsSemiMixedTypes="0" containsString="0" containsNumber="1" containsInteger="1" minValue="1" maxValue="334"/>
    </cacheField>
    <cacheField name="Mileage" numFmtId="0">
      <sharedItems containsSemiMixedTypes="0" containsString="0" containsNumber="1" containsInteger="1" minValue="395" maxValue="95445" count="98">
        <n v="69500"/>
        <n v="6500"/>
        <n v="51816"/>
        <n v="34467"/>
        <n v="1600"/>
        <n v="18150"/>
        <n v="37548"/>
        <n v="43000"/>
        <n v="73028"/>
        <n v="16752"/>
        <n v="27828"/>
        <n v="60686"/>
        <n v="66500"/>
        <n v="24457"/>
        <n v="31261"/>
        <n v="62500"/>
        <n v="10700"/>
        <n v="44256"/>
        <n v="30317"/>
        <n v="50000"/>
        <n v="22724"/>
        <n v="9207"/>
        <n v="31383"/>
        <n v="70000"/>
        <n v="32600"/>
        <n v="28960"/>
        <n v="48000"/>
        <n v="47000"/>
        <n v="25000"/>
        <n v="20746"/>
        <n v="26992"/>
        <n v="45800"/>
        <n v="38081"/>
        <n v="41100"/>
        <n v="16250"/>
        <n v="40400"/>
        <n v="95445"/>
        <n v="37200"/>
        <n v="19000"/>
        <n v="69000"/>
        <n v="52500"/>
        <n v="23101"/>
        <n v="34901"/>
        <n v="17000"/>
        <n v="32008"/>
        <n v="10500"/>
        <n v="22000"/>
        <n v="12554"/>
        <n v="572"/>
        <n v="36980"/>
        <n v="18706"/>
        <n v="49800"/>
        <n v="16515"/>
        <n v="22757"/>
        <n v="79000"/>
        <n v="6733"/>
        <n v="51000"/>
        <n v="36667"/>
        <n v="7000"/>
        <n v="48260"/>
        <n v="17500"/>
        <n v="9971"/>
        <n v="1986"/>
        <n v="15736"/>
        <n v="28700"/>
        <n v="69012"/>
        <n v="14500"/>
        <n v="19300"/>
        <n v="6231"/>
        <n v="19895"/>
        <n v="15074"/>
        <n v="22975"/>
        <n v="18114"/>
        <n v="63000"/>
        <n v="25435"/>
        <n v="9900"/>
        <n v="52638"/>
        <n v="6006"/>
        <n v="1251"/>
        <n v="26900"/>
        <n v="8200"/>
        <n v="3500"/>
        <n v="35900"/>
        <n v="30793"/>
        <n v="15750"/>
        <n v="38704"/>
        <n v="3065"/>
        <n v="1939"/>
        <n v="7521"/>
        <n v="8938"/>
        <n v="4850"/>
        <n v="36000"/>
        <n v="27000"/>
        <n v="36495"/>
        <n v="395"/>
        <n v="3418"/>
        <n v="3751"/>
        <n v="41800"/>
      </sharedItems>
    </cacheField>
    <cacheField name="Registration" numFmtId="0">
      <sharedItems containsSemiMixedTypes="0" containsString="0" containsNumber="1" containsInteger="1" minValue="1995" maxValue="2025" count="23">
        <n v="2006"/>
        <n v="2018"/>
        <n v="2024"/>
        <n v="2019"/>
        <n v="2015"/>
        <n v="2017"/>
        <n v="2009"/>
        <n v="2010"/>
        <n v="2011"/>
        <n v="2013"/>
        <n v="2007"/>
        <n v="2020"/>
        <n v="2021"/>
        <n v="2014"/>
        <n v="2012"/>
        <n v="2008"/>
        <n v="2005"/>
        <n v="2022"/>
        <n v="1996"/>
        <n v="2025"/>
        <n v="2023"/>
        <n v="2016"/>
        <n v="1995"/>
      </sharedItems>
    </cacheField>
    <cacheField name="Location" numFmtId="0">
      <sharedItems count="80">
        <s v="Birmingham (2 miles)"/>
        <s v="Solihull (6 miles)"/>
        <s v="Pontypool (70 miles)"/>
        <s v="Bedford (65 miles)"/>
        <s v="Wolverhampton (14 miles)"/>
        <s v="Warwick (14 miles)"/>
        <s v="Stone (29 miles)"/>
        <s v="Sheffield (65 miles)"/>
        <s v="Bristol (79 miles)"/>
        <s v="Worcester (24 miles)"/>
        <s v="Northampton (46 miles)"/>
        <s v="Telford (29 miles)"/>
        <s v="Newburry (80 miles)"/>
        <s v="Warwick (28 miles)"/>
        <s v="Hinckley (22 miles)"/>
        <s v="Scunthorpe (92 miles)"/>
        <s v="Wigan (77 miles)"/>
        <s v="Derby (36 miles)"/>
        <s v="Oldham (75 miles)"/>
        <s v="Taunton (111 miles)"/>
        <s v="Knaresborough (107 miles)"/>
        <s v="West Drayton (91 miles)"/>
        <s v="Kingswinford (12 miles)"/>
        <s v="Huddersfield (80 miles)"/>
        <s v="Sutton In Ashfield (51 miles)"/>
        <s v="Macclesfield (56 miles)"/>
        <s v="Keston (114 miles)"/>
        <s v="Warrington (71 miles)"/>
        <s v="Great Missenden (73 miles)"/>
        <s v="Wigan (80 miles)"/>
        <s v="Tonbridge (132 miles)"/>
        <s v="Wilmslow (60 miles)"/>
        <s v="St. Neots (71 miles)"/>
        <s v="Milton Keynes (59 miles)"/>
        <s v="Cheltenham (41 miles)"/>
        <s v="Basingstoke (92 miles)"/>
        <s v="Ferryhill (150 miles)"/>
        <s v="Nottingham (44 miles)"/>
        <s v="Bridport (129 miles)"/>
        <s v="Swadlincote (23 miles)"/>
        <s v="Tring (70 miles)"/>
        <s v="Lyndhurst (108 miles)"/>
        <s v="Fareham (118 miles)"/>
        <s v="Grantham (60 miles)"/>
        <s v="Poole (120 miles)"/>
        <s v="Sheffield (67 miles)"/>
        <s v="Chesterfield (54 miles)"/>
        <s v="Romsey (106 miles)"/>
        <s v="High Wycombe (78 miles)"/>
        <s v="Clitheroe (96 miles)"/>
        <s v="Liskeard (180 miles)"/>
        <s v="Macclesfield (55 miles)"/>
        <s v="Mansfield (53 miles)"/>
        <s v="Camberley (94 miles)"/>
        <s v="Chislehurst (112 miles)"/>
        <s v="Cardiff (90 miles)"/>
        <s v="Milton Keynes (60 miles)"/>
        <s v="Pangbourne (78 miles)"/>
        <s v="Bristol (74 miles)"/>
        <s v="Sudbury (122 miles)"/>
        <s v="Eye (128 miles)"/>
        <s v="Clapham (104 miles)"/>
        <s v="Leeds (91 miles)"/>
        <s v="London (96 miles)"/>
        <s v="Broadstone (120 miles)"/>
        <s v="Belfast (221 miles)"/>
        <s v="Pontyclun (94 miles)"/>
        <s v="King's Lynn (101 miles)"/>
        <s v="Beamish (167 miles)"/>
        <s v="Chislehurst (124 miles)"/>
        <s v="Orpington (115 miles)"/>
        <s v="Banstead (109 miles)"/>
        <s v="Tunbridge Wells (131 miles)"/>
        <s v="County Tyrone (244 miles)"/>
        <s v="Lisburn (220 miles)"/>
        <s v="Bury St Edmunds (117 miles)"/>
        <s v="Rainham (111 miles)"/>
        <s v="Walton On Thames (99 miles)"/>
        <s v="Brentwood (111 miles)"/>
        <s v="Milton Keynes (57 miles)"/>
      </sharedItems>
    </cacheField>
    <cacheField name="Gearbox" numFmtId="0">
      <sharedItems count="2">
        <s v="Manual"/>
        <s v="Automatic"/>
      </sharedItems>
    </cacheField>
    <cacheField name="Price" numFmtId="3">
      <sharedItems containsSemiMixedTypes="0" containsString="0" containsNumber="1" containsInteger="1" minValue="19995" maxValue="284950" count="90">
        <n v="23995"/>
        <n v="69500"/>
        <n v="24995"/>
        <n v="29979"/>
        <n v="113995"/>
        <n v="76995"/>
        <n v="29999"/>
        <n v="39950"/>
        <n v="19995"/>
        <n v="69990"/>
        <n v="78995"/>
        <n v="26995"/>
        <n v="24950"/>
        <n v="36995"/>
        <n v="36940"/>
        <n v="38500"/>
        <n v="127995"/>
        <n v="68990"/>
        <n v="44900"/>
        <n v="33970"/>
        <n v="89950"/>
        <n v="44490"/>
        <n v="26495"/>
        <n v="76250"/>
        <n v="66499"/>
        <n v="73480"/>
        <n v="28990"/>
        <n v="69950"/>
        <n v="43599"/>
        <n v="43900"/>
        <n v="34500"/>
        <n v="39995"/>
        <n v="29975"/>
        <n v="59900"/>
        <n v="47990"/>
        <n v="27892"/>
        <n v="74900"/>
        <n v="76950"/>
        <n v="26950"/>
        <n v="22250"/>
        <n v="81000"/>
        <n v="29990"/>
        <n v="159950"/>
        <n v="28995"/>
        <n v="96900"/>
        <n v="75480"/>
        <n v="77950"/>
        <n v="149950"/>
        <n v="31980"/>
        <n v="39988"/>
        <n v="34995"/>
        <n v="47950"/>
        <n v="49000"/>
        <n v="27950"/>
        <n v="109995"/>
        <n v="27995"/>
        <n v="29995"/>
        <n v="88480"/>
        <n v="71888"/>
        <n v="129995"/>
        <n v="152950"/>
        <n v="79995"/>
        <n v="39000"/>
        <n v="77500"/>
        <n v="66995"/>
        <n v="109950"/>
        <n v="47900"/>
        <n v="78795"/>
        <n v="51990"/>
        <n v="24500"/>
        <n v="40000"/>
        <n v="71750"/>
        <n v="84990"/>
        <n v="175000"/>
        <n v="29500"/>
        <n v="95990"/>
        <n v="168999"/>
        <n v="60000"/>
        <n v="89990"/>
        <n v="42950"/>
        <n v="217950"/>
        <n v="169995"/>
        <n v="284950"/>
        <n v="109990"/>
        <n v="114995"/>
        <n v="27000"/>
        <n v="36500"/>
        <n v="198995"/>
        <n v="126990"/>
        <n v="109900"/>
      </sharedItems>
    </cacheField>
    <cacheField name="Body Colour" numFmtId="0">
      <sharedItems count="7">
        <s v="Silver"/>
        <s v="Black"/>
        <s v="Grey"/>
        <s v="Green"/>
        <s v="Blue"/>
        <s v="Red"/>
        <s v="Wh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x v="0"/>
    <x v="0"/>
    <x v="0"/>
  </r>
  <r>
    <n v="2"/>
    <x v="1"/>
    <x v="1"/>
    <x v="1"/>
    <x v="1"/>
    <x v="1"/>
    <x v="0"/>
  </r>
  <r>
    <n v="3"/>
    <x v="2"/>
    <x v="0"/>
    <x v="2"/>
    <x v="0"/>
    <x v="2"/>
    <x v="1"/>
  </r>
  <r>
    <n v="4"/>
    <x v="3"/>
    <x v="0"/>
    <x v="3"/>
    <x v="0"/>
    <x v="3"/>
    <x v="2"/>
  </r>
  <r>
    <n v="5"/>
    <x v="4"/>
    <x v="2"/>
    <x v="4"/>
    <x v="1"/>
    <x v="4"/>
    <x v="3"/>
  </r>
  <r>
    <n v="6"/>
    <x v="5"/>
    <x v="3"/>
    <x v="5"/>
    <x v="1"/>
    <x v="5"/>
    <x v="4"/>
  </r>
  <r>
    <n v="7"/>
    <x v="6"/>
    <x v="0"/>
    <x v="6"/>
    <x v="0"/>
    <x v="6"/>
    <x v="0"/>
  </r>
  <r>
    <n v="8"/>
    <x v="7"/>
    <x v="4"/>
    <x v="7"/>
    <x v="1"/>
    <x v="7"/>
    <x v="0"/>
  </r>
  <r>
    <n v="9"/>
    <x v="8"/>
    <x v="0"/>
    <x v="8"/>
    <x v="0"/>
    <x v="8"/>
    <x v="2"/>
  </r>
  <r>
    <n v="10"/>
    <x v="9"/>
    <x v="5"/>
    <x v="9"/>
    <x v="0"/>
    <x v="9"/>
    <x v="3"/>
  </r>
  <r>
    <n v="11"/>
    <x v="10"/>
    <x v="3"/>
    <x v="10"/>
    <x v="1"/>
    <x v="10"/>
    <x v="1"/>
  </r>
  <r>
    <n v="13"/>
    <x v="11"/>
    <x v="6"/>
    <x v="11"/>
    <x v="1"/>
    <x v="11"/>
    <x v="0"/>
  </r>
  <r>
    <n v="15"/>
    <x v="12"/>
    <x v="0"/>
    <x v="12"/>
    <x v="0"/>
    <x v="12"/>
    <x v="2"/>
  </r>
  <r>
    <n v="18"/>
    <x v="13"/>
    <x v="7"/>
    <x v="6"/>
    <x v="1"/>
    <x v="13"/>
    <x v="0"/>
  </r>
  <r>
    <n v="20"/>
    <x v="14"/>
    <x v="8"/>
    <x v="13"/>
    <x v="1"/>
    <x v="14"/>
    <x v="1"/>
  </r>
  <r>
    <n v="21"/>
    <x v="15"/>
    <x v="9"/>
    <x v="14"/>
    <x v="0"/>
    <x v="15"/>
    <x v="1"/>
  </r>
  <r>
    <n v="22"/>
    <x v="16"/>
    <x v="1"/>
    <x v="15"/>
    <x v="1"/>
    <x v="16"/>
    <x v="1"/>
  </r>
  <r>
    <n v="24"/>
    <x v="17"/>
    <x v="3"/>
    <x v="16"/>
    <x v="1"/>
    <x v="17"/>
    <x v="4"/>
  </r>
  <r>
    <n v="25"/>
    <x v="18"/>
    <x v="4"/>
    <x v="17"/>
    <x v="0"/>
    <x v="18"/>
    <x v="5"/>
  </r>
  <r>
    <n v="26"/>
    <x v="19"/>
    <x v="10"/>
    <x v="18"/>
    <x v="1"/>
    <x v="11"/>
    <x v="0"/>
  </r>
  <r>
    <n v="27"/>
    <x v="20"/>
    <x v="7"/>
    <x v="19"/>
    <x v="1"/>
    <x v="19"/>
    <x v="1"/>
  </r>
  <r>
    <n v="28"/>
    <x v="21"/>
    <x v="11"/>
    <x v="20"/>
    <x v="0"/>
    <x v="20"/>
    <x v="2"/>
  </r>
  <r>
    <n v="29"/>
    <x v="22"/>
    <x v="4"/>
    <x v="16"/>
    <x v="1"/>
    <x v="21"/>
    <x v="1"/>
  </r>
  <r>
    <n v="30"/>
    <x v="23"/>
    <x v="7"/>
    <x v="21"/>
    <x v="0"/>
    <x v="22"/>
    <x v="1"/>
  </r>
  <r>
    <n v="31"/>
    <x v="24"/>
    <x v="11"/>
    <x v="22"/>
    <x v="1"/>
    <x v="23"/>
    <x v="6"/>
  </r>
  <r>
    <n v="33"/>
    <x v="25"/>
    <x v="1"/>
    <x v="23"/>
    <x v="1"/>
    <x v="24"/>
    <x v="2"/>
  </r>
  <r>
    <n v="34"/>
    <x v="26"/>
    <x v="12"/>
    <x v="24"/>
    <x v="1"/>
    <x v="25"/>
    <x v="2"/>
  </r>
  <r>
    <n v="35"/>
    <x v="27"/>
    <x v="10"/>
    <x v="25"/>
    <x v="1"/>
    <x v="26"/>
    <x v="1"/>
  </r>
  <r>
    <n v="36"/>
    <x v="28"/>
    <x v="3"/>
    <x v="26"/>
    <x v="1"/>
    <x v="27"/>
    <x v="1"/>
  </r>
  <r>
    <n v="37"/>
    <x v="29"/>
    <x v="4"/>
    <x v="27"/>
    <x v="0"/>
    <x v="28"/>
    <x v="1"/>
  </r>
  <r>
    <n v="38"/>
    <x v="30"/>
    <x v="13"/>
    <x v="17"/>
    <x v="1"/>
    <x v="29"/>
    <x v="1"/>
  </r>
  <r>
    <n v="39"/>
    <x v="31"/>
    <x v="0"/>
    <x v="28"/>
    <x v="0"/>
    <x v="30"/>
    <x v="3"/>
  </r>
  <r>
    <n v="40"/>
    <x v="32"/>
    <x v="14"/>
    <x v="29"/>
    <x v="1"/>
    <x v="31"/>
    <x v="0"/>
  </r>
  <r>
    <n v="41"/>
    <x v="33"/>
    <x v="6"/>
    <x v="30"/>
    <x v="1"/>
    <x v="32"/>
    <x v="1"/>
  </r>
  <r>
    <n v="42"/>
    <x v="34"/>
    <x v="4"/>
    <x v="31"/>
    <x v="1"/>
    <x v="33"/>
    <x v="1"/>
  </r>
  <r>
    <n v="44"/>
    <x v="35"/>
    <x v="5"/>
    <x v="25"/>
    <x v="1"/>
    <x v="34"/>
    <x v="1"/>
  </r>
  <r>
    <n v="47"/>
    <x v="32"/>
    <x v="14"/>
    <x v="29"/>
    <x v="1"/>
    <x v="31"/>
    <x v="0"/>
  </r>
  <r>
    <n v="49"/>
    <x v="36"/>
    <x v="13"/>
    <x v="32"/>
    <x v="0"/>
    <x v="35"/>
    <x v="1"/>
  </r>
  <r>
    <n v="50"/>
    <x v="37"/>
    <x v="3"/>
    <x v="33"/>
    <x v="1"/>
    <x v="36"/>
    <x v="2"/>
  </r>
  <r>
    <n v="51"/>
    <x v="38"/>
    <x v="3"/>
    <x v="34"/>
    <x v="1"/>
    <x v="37"/>
    <x v="5"/>
  </r>
  <r>
    <n v="52"/>
    <x v="39"/>
    <x v="15"/>
    <x v="35"/>
    <x v="1"/>
    <x v="38"/>
    <x v="0"/>
  </r>
  <r>
    <n v="56"/>
    <x v="40"/>
    <x v="16"/>
    <x v="36"/>
    <x v="0"/>
    <x v="39"/>
    <x v="0"/>
  </r>
  <r>
    <n v="58"/>
    <x v="41"/>
    <x v="17"/>
    <x v="37"/>
    <x v="1"/>
    <x v="40"/>
    <x v="4"/>
  </r>
  <r>
    <n v="59"/>
    <x v="42"/>
    <x v="10"/>
    <x v="38"/>
    <x v="0"/>
    <x v="41"/>
    <x v="2"/>
  </r>
  <r>
    <n v="61"/>
    <x v="43"/>
    <x v="18"/>
    <x v="39"/>
    <x v="0"/>
    <x v="42"/>
    <x v="3"/>
  </r>
  <r>
    <n v="62"/>
    <x v="44"/>
    <x v="0"/>
    <x v="40"/>
    <x v="0"/>
    <x v="43"/>
    <x v="1"/>
  </r>
  <r>
    <n v="63"/>
    <x v="45"/>
    <x v="17"/>
    <x v="31"/>
    <x v="1"/>
    <x v="44"/>
    <x v="2"/>
  </r>
  <r>
    <n v="64"/>
    <x v="46"/>
    <x v="3"/>
    <x v="24"/>
    <x v="1"/>
    <x v="45"/>
    <x v="5"/>
  </r>
  <r>
    <n v="65"/>
    <x v="47"/>
    <x v="11"/>
    <x v="20"/>
    <x v="1"/>
    <x v="46"/>
    <x v="6"/>
  </r>
  <r>
    <n v="66"/>
    <x v="48"/>
    <x v="19"/>
    <x v="41"/>
    <x v="1"/>
    <x v="47"/>
    <x v="5"/>
  </r>
  <r>
    <n v="67"/>
    <x v="49"/>
    <x v="10"/>
    <x v="42"/>
    <x v="1"/>
    <x v="48"/>
    <x v="4"/>
  </r>
  <r>
    <n v="69"/>
    <x v="50"/>
    <x v="8"/>
    <x v="43"/>
    <x v="1"/>
    <x v="49"/>
    <x v="6"/>
  </r>
  <r>
    <n v="70"/>
    <x v="51"/>
    <x v="14"/>
    <x v="44"/>
    <x v="0"/>
    <x v="50"/>
    <x v="6"/>
  </r>
  <r>
    <n v="71"/>
    <x v="52"/>
    <x v="4"/>
    <x v="20"/>
    <x v="1"/>
    <x v="51"/>
    <x v="1"/>
  </r>
  <r>
    <n v="74"/>
    <x v="53"/>
    <x v="13"/>
    <x v="45"/>
    <x v="1"/>
    <x v="52"/>
    <x v="0"/>
  </r>
  <r>
    <n v="75"/>
    <x v="54"/>
    <x v="0"/>
    <x v="46"/>
    <x v="0"/>
    <x v="53"/>
    <x v="1"/>
  </r>
  <r>
    <n v="76"/>
    <x v="55"/>
    <x v="17"/>
    <x v="47"/>
    <x v="1"/>
    <x v="54"/>
    <x v="3"/>
  </r>
  <r>
    <n v="78"/>
    <x v="56"/>
    <x v="0"/>
    <x v="48"/>
    <x v="0"/>
    <x v="55"/>
    <x v="5"/>
  </r>
  <r>
    <n v="79"/>
    <x v="57"/>
    <x v="0"/>
    <x v="49"/>
    <x v="0"/>
    <x v="56"/>
    <x v="0"/>
  </r>
  <r>
    <n v="81"/>
    <x v="58"/>
    <x v="12"/>
    <x v="24"/>
    <x v="1"/>
    <x v="57"/>
    <x v="1"/>
  </r>
  <r>
    <n v="83"/>
    <x v="59"/>
    <x v="0"/>
    <x v="50"/>
    <x v="0"/>
    <x v="6"/>
    <x v="0"/>
  </r>
  <r>
    <n v="84"/>
    <x v="60"/>
    <x v="3"/>
    <x v="51"/>
    <x v="1"/>
    <x v="58"/>
    <x v="2"/>
  </r>
  <r>
    <n v="85"/>
    <x v="61"/>
    <x v="1"/>
    <x v="52"/>
    <x v="0"/>
    <x v="59"/>
    <x v="1"/>
  </r>
  <r>
    <n v="87"/>
    <x v="62"/>
    <x v="19"/>
    <x v="34"/>
    <x v="1"/>
    <x v="60"/>
    <x v="0"/>
  </r>
  <r>
    <n v="88"/>
    <x v="63"/>
    <x v="12"/>
    <x v="53"/>
    <x v="0"/>
    <x v="61"/>
    <x v="0"/>
  </r>
  <r>
    <n v="89"/>
    <x v="64"/>
    <x v="8"/>
    <x v="54"/>
    <x v="1"/>
    <x v="62"/>
    <x v="0"/>
  </r>
  <r>
    <n v="90"/>
    <x v="65"/>
    <x v="6"/>
    <x v="55"/>
    <x v="1"/>
    <x v="8"/>
    <x v="0"/>
  </r>
  <r>
    <n v="93"/>
    <x v="66"/>
    <x v="3"/>
    <x v="56"/>
    <x v="1"/>
    <x v="63"/>
    <x v="6"/>
  </r>
  <r>
    <n v="95"/>
    <x v="67"/>
    <x v="14"/>
    <x v="47"/>
    <x v="0"/>
    <x v="64"/>
    <x v="1"/>
  </r>
  <r>
    <n v="99"/>
    <x v="68"/>
    <x v="2"/>
    <x v="57"/>
    <x v="1"/>
    <x v="65"/>
    <x v="3"/>
  </r>
  <r>
    <n v="104"/>
    <x v="69"/>
    <x v="5"/>
    <x v="17"/>
    <x v="0"/>
    <x v="66"/>
    <x v="6"/>
  </r>
  <r>
    <n v="130"/>
    <x v="70"/>
    <x v="3"/>
    <x v="3"/>
    <x v="1"/>
    <x v="67"/>
    <x v="4"/>
  </r>
  <r>
    <n v="140"/>
    <x v="71"/>
    <x v="13"/>
    <x v="58"/>
    <x v="1"/>
    <x v="68"/>
    <x v="6"/>
  </r>
  <r>
    <n v="153"/>
    <x v="72"/>
    <x v="17"/>
    <x v="53"/>
    <x v="1"/>
    <x v="20"/>
    <x v="4"/>
  </r>
  <r>
    <n v="161"/>
    <x v="73"/>
    <x v="15"/>
    <x v="59"/>
    <x v="1"/>
    <x v="69"/>
    <x v="4"/>
  </r>
  <r>
    <n v="170"/>
    <x v="74"/>
    <x v="8"/>
    <x v="8"/>
    <x v="1"/>
    <x v="70"/>
    <x v="2"/>
  </r>
  <r>
    <n v="173"/>
    <x v="75"/>
    <x v="13"/>
    <x v="60"/>
    <x v="1"/>
    <x v="71"/>
    <x v="6"/>
  </r>
  <r>
    <n v="178"/>
    <x v="72"/>
    <x v="17"/>
    <x v="53"/>
    <x v="1"/>
    <x v="20"/>
    <x v="4"/>
  </r>
  <r>
    <n v="185"/>
    <x v="76"/>
    <x v="0"/>
    <x v="61"/>
    <x v="0"/>
    <x v="56"/>
    <x v="1"/>
  </r>
  <r>
    <n v="190"/>
    <x v="77"/>
    <x v="3"/>
    <x v="62"/>
    <x v="1"/>
    <x v="72"/>
    <x v="0"/>
  </r>
  <r>
    <n v="193"/>
    <x v="78"/>
    <x v="19"/>
    <x v="63"/>
    <x v="1"/>
    <x v="73"/>
    <x v="3"/>
  </r>
  <r>
    <n v="198"/>
    <x v="79"/>
    <x v="7"/>
    <x v="64"/>
    <x v="1"/>
    <x v="74"/>
    <x v="0"/>
  </r>
  <r>
    <n v="202"/>
    <x v="80"/>
    <x v="11"/>
    <x v="58"/>
    <x v="0"/>
    <x v="75"/>
    <x v="4"/>
  </r>
  <r>
    <n v="205"/>
    <x v="81"/>
    <x v="2"/>
    <x v="65"/>
    <x v="1"/>
    <x v="76"/>
    <x v="1"/>
  </r>
  <r>
    <n v="206"/>
    <x v="82"/>
    <x v="13"/>
    <x v="66"/>
    <x v="0"/>
    <x v="77"/>
    <x v="0"/>
  </r>
  <r>
    <n v="214"/>
    <x v="83"/>
    <x v="8"/>
    <x v="67"/>
    <x v="1"/>
    <x v="50"/>
    <x v="2"/>
  </r>
  <r>
    <n v="249"/>
    <x v="84"/>
    <x v="17"/>
    <x v="62"/>
    <x v="1"/>
    <x v="78"/>
    <x v="6"/>
  </r>
  <r>
    <n v="265"/>
    <x v="85"/>
    <x v="8"/>
    <x v="68"/>
    <x v="1"/>
    <x v="79"/>
    <x v="2"/>
  </r>
  <r>
    <n v="269"/>
    <x v="86"/>
    <x v="20"/>
    <x v="69"/>
    <x v="1"/>
    <x v="80"/>
    <x v="2"/>
  </r>
  <r>
    <n v="270"/>
    <x v="87"/>
    <x v="19"/>
    <x v="70"/>
    <x v="1"/>
    <x v="81"/>
    <x v="0"/>
  </r>
  <r>
    <n v="273"/>
    <x v="88"/>
    <x v="21"/>
    <x v="71"/>
    <x v="1"/>
    <x v="82"/>
    <x v="3"/>
  </r>
  <r>
    <n v="288"/>
    <x v="89"/>
    <x v="17"/>
    <x v="72"/>
    <x v="1"/>
    <x v="83"/>
    <x v="1"/>
  </r>
  <r>
    <n v="289"/>
    <x v="90"/>
    <x v="2"/>
    <x v="73"/>
    <x v="1"/>
    <x v="84"/>
    <x v="6"/>
  </r>
  <r>
    <n v="294"/>
    <x v="91"/>
    <x v="4"/>
    <x v="74"/>
    <x v="1"/>
    <x v="7"/>
    <x v="6"/>
  </r>
  <r>
    <n v="300"/>
    <x v="92"/>
    <x v="0"/>
    <x v="75"/>
    <x v="0"/>
    <x v="85"/>
    <x v="0"/>
  </r>
  <r>
    <n v="317"/>
    <x v="93"/>
    <x v="8"/>
    <x v="76"/>
    <x v="1"/>
    <x v="86"/>
    <x v="1"/>
  </r>
  <r>
    <n v="321"/>
    <x v="94"/>
    <x v="17"/>
    <x v="77"/>
    <x v="1"/>
    <x v="87"/>
    <x v="3"/>
  </r>
  <r>
    <n v="323"/>
    <x v="95"/>
    <x v="2"/>
    <x v="65"/>
    <x v="1"/>
    <x v="88"/>
    <x v="3"/>
  </r>
  <r>
    <n v="333"/>
    <x v="96"/>
    <x v="2"/>
    <x v="78"/>
    <x v="1"/>
    <x v="89"/>
    <x v="6"/>
  </r>
  <r>
    <n v="334"/>
    <x v="97"/>
    <x v="22"/>
    <x v="79"/>
    <x v="0"/>
    <x v="4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9B10B-3AAD-4235-99FE-D4B9C2444DE9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I1:J8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1"/>
        <item x="4"/>
        <item x="3"/>
        <item x="2"/>
        <item x="5"/>
        <item x="0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Body Colour" fld="6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31C58-9272-495A-8EBD-1D90F89DCCA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8:N27" firstHeaderRow="1" firstDataRow="2" firstDataCol="1"/>
  <pivotFields count="7">
    <pivotField showAll="0"/>
    <pivotField dataField="1" showAll="0">
      <items count="99">
        <item x="94"/>
        <item x="48"/>
        <item x="78"/>
        <item x="4"/>
        <item x="87"/>
        <item x="62"/>
        <item x="86"/>
        <item x="95"/>
        <item x="81"/>
        <item x="96"/>
        <item x="90"/>
        <item x="77"/>
        <item x="68"/>
        <item x="1"/>
        <item x="55"/>
        <item x="58"/>
        <item x="88"/>
        <item x="80"/>
        <item x="89"/>
        <item x="21"/>
        <item x="75"/>
        <item x="61"/>
        <item x="45"/>
        <item x="16"/>
        <item x="47"/>
        <item x="66"/>
        <item x="70"/>
        <item x="63"/>
        <item x="84"/>
        <item x="34"/>
        <item x="52"/>
        <item x="9"/>
        <item x="43"/>
        <item x="60"/>
        <item x="72"/>
        <item x="5"/>
        <item x="50"/>
        <item x="38"/>
        <item x="67"/>
        <item x="69"/>
        <item x="29"/>
        <item x="46"/>
        <item x="20"/>
        <item x="53"/>
        <item x="71"/>
        <item x="41"/>
        <item x="13"/>
        <item x="28"/>
        <item x="74"/>
        <item x="79"/>
        <item x="30"/>
        <item x="92"/>
        <item x="10"/>
        <item x="64"/>
        <item x="25"/>
        <item x="18"/>
        <item x="83"/>
        <item x="14"/>
        <item x="22"/>
        <item x="44"/>
        <item x="24"/>
        <item x="3"/>
        <item x="42"/>
        <item x="82"/>
        <item x="91"/>
        <item x="93"/>
        <item x="57"/>
        <item x="49"/>
        <item x="37"/>
        <item x="6"/>
        <item x="32"/>
        <item x="85"/>
        <item x="35"/>
        <item x="33"/>
        <item x="97"/>
        <item x="7"/>
        <item x="17"/>
        <item x="31"/>
        <item x="27"/>
        <item x="26"/>
        <item x="59"/>
        <item x="51"/>
        <item x="19"/>
        <item x="56"/>
        <item x="2"/>
        <item x="40"/>
        <item x="76"/>
        <item x="11"/>
        <item x="15"/>
        <item x="73"/>
        <item x="12"/>
        <item x="39"/>
        <item x="65"/>
        <item x="0"/>
        <item x="23"/>
        <item x="8"/>
        <item x="54"/>
        <item x="36"/>
        <item t="default"/>
      </items>
    </pivotField>
    <pivotField showAll="0">
      <items count="24">
        <item x="22"/>
        <item x="18"/>
        <item x="16"/>
        <item x="0"/>
        <item x="10"/>
        <item x="15"/>
        <item x="6"/>
        <item x="7"/>
        <item x="8"/>
        <item x="14"/>
        <item x="9"/>
        <item x="13"/>
        <item x="4"/>
        <item x="21"/>
        <item x="5"/>
        <item x="1"/>
        <item x="3"/>
        <item x="11"/>
        <item x="12"/>
        <item x="17"/>
        <item x="20"/>
        <item x="2"/>
        <item x="19"/>
        <item t="default"/>
      </items>
    </pivotField>
    <pivotField showAll="0">
      <items count="81">
        <item x="71"/>
        <item x="35"/>
        <item x="68"/>
        <item x="3"/>
        <item x="65"/>
        <item x="0"/>
        <item x="78"/>
        <item x="38"/>
        <item x="58"/>
        <item x="8"/>
        <item x="64"/>
        <item x="75"/>
        <item x="53"/>
        <item x="55"/>
        <item x="34"/>
        <item x="46"/>
        <item x="54"/>
        <item x="69"/>
        <item x="61"/>
        <item x="49"/>
        <item x="73"/>
        <item x="17"/>
        <item x="60"/>
        <item x="42"/>
        <item x="36"/>
        <item x="43"/>
        <item x="28"/>
        <item x="48"/>
        <item x="14"/>
        <item x="23"/>
        <item x="26"/>
        <item x="67"/>
        <item x="22"/>
        <item x="20"/>
        <item x="62"/>
        <item x="74"/>
        <item x="50"/>
        <item x="63"/>
        <item x="41"/>
        <item x="51"/>
        <item x="25"/>
        <item x="52"/>
        <item x="79"/>
        <item x="33"/>
        <item x="56"/>
        <item x="12"/>
        <item x="10"/>
        <item x="37"/>
        <item x="18"/>
        <item x="70"/>
        <item x="57"/>
        <item x="66"/>
        <item x="2"/>
        <item x="44"/>
        <item x="76"/>
        <item x="47"/>
        <item x="15"/>
        <item x="7"/>
        <item x="45"/>
        <item x="1"/>
        <item x="32"/>
        <item x="6"/>
        <item x="59"/>
        <item x="24"/>
        <item x="39"/>
        <item x="19"/>
        <item x="11"/>
        <item x="30"/>
        <item x="40"/>
        <item x="72"/>
        <item x="77"/>
        <item x="27"/>
        <item x="5"/>
        <item x="13"/>
        <item x="21"/>
        <item x="16"/>
        <item x="29"/>
        <item x="31"/>
        <item x="4"/>
        <item x="9"/>
        <item t="default"/>
      </items>
    </pivotField>
    <pivotField axis="axisCol" showAll="0">
      <items count="3">
        <item x="1"/>
        <item x="0"/>
        <item t="default"/>
      </items>
    </pivotField>
    <pivotField numFmtId="3" showAll="0">
      <items count="91">
        <item x="8"/>
        <item x="39"/>
        <item x="0"/>
        <item x="69"/>
        <item x="12"/>
        <item x="2"/>
        <item x="22"/>
        <item x="38"/>
        <item x="11"/>
        <item x="85"/>
        <item x="35"/>
        <item x="53"/>
        <item x="55"/>
        <item x="26"/>
        <item x="43"/>
        <item x="74"/>
        <item x="32"/>
        <item x="3"/>
        <item x="41"/>
        <item x="56"/>
        <item x="6"/>
        <item x="48"/>
        <item x="19"/>
        <item x="30"/>
        <item x="50"/>
        <item x="86"/>
        <item x="14"/>
        <item x="13"/>
        <item x="15"/>
        <item x="62"/>
        <item x="7"/>
        <item x="49"/>
        <item x="31"/>
        <item x="70"/>
        <item x="79"/>
        <item x="28"/>
        <item x="29"/>
        <item x="21"/>
        <item x="18"/>
        <item x="66"/>
        <item x="51"/>
        <item x="34"/>
        <item x="52"/>
        <item x="68"/>
        <item x="33"/>
        <item x="77"/>
        <item x="24"/>
        <item x="64"/>
        <item x="17"/>
        <item x="1"/>
        <item x="27"/>
        <item x="9"/>
        <item x="71"/>
        <item x="58"/>
        <item x="25"/>
        <item x="36"/>
        <item x="45"/>
        <item x="23"/>
        <item x="37"/>
        <item x="5"/>
        <item x="63"/>
        <item x="46"/>
        <item x="67"/>
        <item x="10"/>
        <item x="61"/>
        <item x="40"/>
        <item x="72"/>
        <item x="57"/>
        <item x="20"/>
        <item x="78"/>
        <item x="75"/>
        <item x="44"/>
        <item x="89"/>
        <item x="65"/>
        <item x="83"/>
        <item x="54"/>
        <item x="4"/>
        <item x="84"/>
        <item x="88"/>
        <item x="16"/>
        <item x="59"/>
        <item x="47"/>
        <item x="60"/>
        <item x="42"/>
        <item x="76"/>
        <item x="81"/>
        <item x="73"/>
        <item x="87"/>
        <item x="80"/>
        <item x="82"/>
        <item t="default"/>
      </items>
    </pivotField>
    <pivotField axis="axisRow" showAll="0">
      <items count="8">
        <item x="1"/>
        <item x="4"/>
        <item x="3"/>
        <item x="2"/>
        <item x="5"/>
        <item x="0"/>
        <item x="6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Mileage" fld="1" baseField="0" baseItem="0"/>
  </dataField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C460B-FB8D-4545-B500-9FEA454CEC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05" firstHeaderRow="1" firstDataRow="2" firstDataCol="1"/>
  <pivotFields count="7">
    <pivotField showAll="0"/>
    <pivotField axis="axisRow" showAll="0">
      <items count="99">
        <item x="94"/>
        <item x="48"/>
        <item x="78"/>
        <item x="4"/>
        <item x="87"/>
        <item x="62"/>
        <item x="86"/>
        <item x="95"/>
        <item x="81"/>
        <item x="96"/>
        <item x="90"/>
        <item x="77"/>
        <item x="68"/>
        <item x="1"/>
        <item x="55"/>
        <item x="58"/>
        <item x="88"/>
        <item x="80"/>
        <item x="89"/>
        <item x="21"/>
        <item x="75"/>
        <item x="61"/>
        <item x="45"/>
        <item x="16"/>
        <item x="47"/>
        <item x="66"/>
        <item x="70"/>
        <item x="63"/>
        <item x="84"/>
        <item x="34"/>
        <item x="52"/>
        <item x="9"/>
        <item x="43"/>
        <item x="60"/>
        <item x="72"/>
        <item x="5"/>
        <item x="50"/>
        <item x="38"/>
        <item x="67"/>
        <item x="69"/>
        <item x="29"/>
        <item x="46"/>
        <item x="20"/>
        <item x="53"/>
        <item x="71"/>
        <item x="41"/>
        <item x="13"/>
        <item x="28"/>
        <item x="74"/>
        <item x="79"/>
        <item x="30"/>
        <item x="92"/>
        <item x="10"/>
        <item x="64"/>
        <item x="25"/>
        <item x="18"/>
        <item x="83"/>
        <item x="14"/>
        <item x="22"/>
        <item x="44"/>
        <item x="24"/>
        <item x="3"/>
        <item x="42"/>
        <item x="82"/>
        <item x="91"/>
        <item x="93"/>
        <item x="57"/>
        <item x="49"/>
        <item x="37"/>
        <item x="6"/>
        <item x="32"/>
        <item x="85"/>
        <item x="35"/>
        <item x="33"/>
        <item x="97"/>
        <item x="7"/>
        <item x="17"/>
        <item x="31"/>
        <item x="27"/>
        <item x="26"/>
        <item x="59"/>
        <item x="51"/>
        <item x="19"/>
        <item x="56"/>
        <item x="2"/>
        <item x="40"/>
        <item x="76"/>
        <item x="11"/>
        <item x="15"/>
        <item x="73"/>
        <item x="12"/>
        <item x="39"/>
        <item x="65"/>
        <item x="0"/>
        <item x="23"/>
        <item x="8"/>
        <item x="54"/>
        <item x="36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dataField="1" numFmtId="3" showAll="0"/>
    <pivotField axis="axisCol" showAll="0">
      <items count="8">
        <item x="1"/>
        <item x="4"/>
        <item x="3"/>
        <item x="2"/>
        <item x="5"/>
        <item x="0"/>
        <item x="6"/>
        <item t="default"/>
      </items>
    </pivotField>
  </pivotFields>
  <rowFields count="2">
    <field x="4"/>
    <field x="1"/>
  </rowFields>
  <rowItems count="10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6"/>
    </i>
    <i r="1">
      <x v="57"/>
    </i>
    <i r="1">
      <x v="58"/>
    </i>
    <i r="1">
      <x v="60"/>
    </i>
    <i r="1">
      <x v="64"/>
    </i>
    <i r="1">
      <x v="65"/>
    </i>
    <i r="1">
      <x v="67"/>
    </i>
    <i r="1">
      <x v="68"/>
    </i>
    <i r="1">
      <x v="70"/>
    </i>
    <i r="1">
      <x v="71"/>
    </i>
    <i r="1">
      <x v="72"/>
    </i>
    <i r="1">
      <x v="73"/>
    </i>
    <i r="1">
      <x v="75"/>
    </i>
    <i r="1">
      <x v="76"/>
    </i>
    <i r="1">
      <x v="78"/>
    </i>
    <i r="1">
      <x v="79"/>
    </i>
    <i r="1">
      <x v="82"/>
    </i>
    <i r="1">
      <x v="87"/>
    </i>
    <i r="1">
      <x v="89"/>
    </i>
    <i r="1">
      <x v="91"/>
    </i>
    <i r="1">
      <x v="92"/>
    </i>
    <i>
      <x v="1"/>
    </i>
    <i r="1">
      <x v="17"/>
    </i>
    <i r="1">
      <x v="19"/>
    </i>
    <i r="1">
      <x v="21"/>
    </i>
    <i r="1">
      <x v="27"/>
    </i>
    <i r="1">
      <x v="31"/>
    </i>
    <i r="1">
      <x v="32"/>
    </i>
    <i r="1">
      <x v="38"/>
    </i>
    <i r="1">
      <x v="39"/>
    </i>
    <i r="1">
      <x v="40"/>
    </i>
    <i r="1">
      <x v="51"/>
    </i>
    <i r="1">
      <x v="55"/>
    </i>
    <i r="1">
      <x v="59"/>
    </i>
    <i r="1">
      <x v="61"/>
    </i>
    <i r="1">
      <x v="62"/>
    </i>
    <i r="1">
      <x v="63"/>
    </i>
    <i r="1">
      <x v="66"/>
    </i>
    <i r="1">
      <x v="69"/>
    </i>
    <i r="1">
      <x v="74"/>
    </i>
    <i r="1">
      <x v="77"/>
    </i>
    <i r="1">
      <x v="80"/>
    </i>
    <i r="1">
      <x v="81"/>
    </i>
    <i r="1">
      <x v="83"/>
    </i>
    <i r="1">
      <x v="84"/>
    </i>
    <i r="1">
      <x v="85"/>
    </i>
    <i r="1">
      <x v="86"/>
    </i>
    <i r="1">
      <x v="88"/>
    </i>
    <i r="1">
      <x v="90"/>
    </i>
    <i r="1">
      <x v="93"/>
    </i>
    <i r="1">
      <x v="94"/>
    </i>
    <i r="1">
      <x v="95"/>
    </i>
    <i r="1">
      <x v="96"/>
    </i>
    <i r="1">
      <x v="97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Price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08D21C-38A7-42B0-8763-A207035B831F}" name="Table1" displayName="Table1" ref="B3:H103" totalsRowShown="0" headerRowDxfId="3">
  <autoFilter ref="B3:H103" xr:uid="{9708D21C-38A7-42B0-8763-A207035B831F}"/>
  <tableColumns count="7">
    <tableColumn id="1" xr3:uid="{458A5BA7-1CA0-43BC-BC5C-0A6BC4548B70}" name="ID" dataDxfId="2"/>
    <tableColumn id="2" xr3:uid="{06FF9773-A92F-47F5-865F-66F3DA2A6B28}" name="Mileage" dataDxfId="1"/>
    <tableColumn id="3" xr3:uid="{3554B6C6-9749-42BF-A2FA-B35F8736A9A9}" name="Registration"/>
    <tableColumn id="4" xr3:uid="{69344CEE-9EA9-4B81-95EA-CC804C80EE71}" name="Location"/>
    <tableColumn id="5" xr3:uid="{CC40DA03-CEB3-4102-8D62-BE9B4AE3A4AC}" name="Gearbox"/>
    <tableColumn id="6" xr3:uid="{82ED9D81-A055-421F-88CA-B5D05B05484F}" name="Price" dataDxfId="0"/>
    <tableColumn id="7" xr3:uid="{2C26EF09-FB89-4B0E-9295-4DD6CA707AA4}" name="Body Col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DF85-54E0-4488-B18D-9B689E166094}">
  <dimension ref="I1:N27"/>
  <sheetViews>
    <sheetView zoomScaleNormal="100" workbookViewId="0">
      <selection activeCell="J12" sqref="J12"/>
    </sheetView>
  </sheetViews>
  <sheetFormatPr defaultRowHeight="14.6" x14ac:dyDescent="0.4"/>
  <cols>
    <col min="9" max="9" width="13.23046875" bestFit="1" customWidth="1"/>
    <col min="10" max="10" width="18.765625" bestFit="1" customWidth="1"/>
    <col min="11" max="11" width="13.765625" bestFit="1" customWidth="1"/>
    <col min="12" max="12" width="15.15234375" bestFit="1" customWidth="1"/>
    <col min="13" max="13" width="7.84375" bestFit="1" customWidth="1"/>
    <col min="14" max="14" width="10.69140625" bestFit="1" customWidth="1"/>
  </cols>
  <sheetData>
    <row r="1" spans="9:10" x14ac:dyDescent="0.4">
      <c r="I1" s="5" t="s">
        <v>6</v>
      </c>
      <c r="J1" t="s">
        <v>103</v>
      </c>
    </row>
    <row r="2" spans="9:10" x14ac:dyDescent="0.4">
      <c r="I2" t="s">
        <v>12</v>
      </c>
      <c r="J2">
        <v>26</v>
      </c>
    </row>
    <row r="3" spans="9:10" x14ac:dyDescent="0.4">
      <c r="I3" t="s">
        <v>17</v>
      </c>
      <c r="J3">
        <v>9</v>
      </c>
    </row>
    <row r="4" spans="9:10" x14ac:dyDescent="0.4">
      <c r="I4" t="s">
        <v>19</v>
      </c>
      <c r="J4">
        <v>11</v>
      </c>
    </row>
    <row r="5" spans="9:10" x14ac:dyDescent="0.4">
      <c r="I5" t="s">
        <v>14</v>
      </c>
      <c r="J5">
        <v>14</v>
      </c>
    </row>
    <row r="6" spans="9:10" x14ac:dyDescent="0.4">
      <c r="I6" t="s">
        <v>25</v>
      </c>
      <c r="J6">
        <v>5</v>
      </c>
    </row>
    <row r="7" spans="9:10" x14ac:dyDescent="0.4">
      <c r="I7" t="s">
        <v>8</v>
      </c>
      <c r="J7">
        <v>23</v>
      </c>
    </row>
    <row r="8" spans="9:10" x14ac:dyDescent="0.4">
      <c r="I8" t="s">
        <v>39</v>
      </c>
      <c r="J8">
        <v>12</v>
      </c>
    </row>
    <row r="18" spans="11:14" x14ac:dyDescent="0.4">
      <c r="K18" s="5" t="s">
        <v>107</v>
      </c>
      <c r="L18" s="5" t="s">
        <v>106</v>
      </c>
    </row>
    <row r="19" spans="11:14" x14ac:dyDescent="0.4">
      <c r="K19" s="5" t="s">
        <v>104</v>
      </c>
      <c r="L19" t="s">
        <v>9</v>
      </c>
      <c r="M19" t="s">
        <v>7</v>
      </c>
      <c r="N19" t="s">
        <v>105</v>
      </c>
    </row>
    <row r="20" spans="11:14" x14ac:dyDescent="0.4">
      <c r="K20" s="6" t="s">
        <v>12</v>
      </c>
      <c r="L20">
        <v>393086</v>
      </c>
      <c r="M20">
        <v>493424</v>
      </c>
      <c r="N20">
        <v>886510</v>
      </c>
    </row>
    <row r="21" spans="11:14" x14ac:dyDescent="0.4">
      <c r="K21" s="6" t="s">
        <v>17</v>
      </c>
      <c r="L21">
        <v>236789</v>
      </c>
      <c r="M21">
        <v>8200</v>
      </c>
      <c r="N21">
        <v>244989</v>
      </c>
    </row>
    <row r="22" spans="11:14" x14ac:dyDescent="0.4">
      <c r="K22" s="6" t="s">
        <v>19</v>
      </c>
      <c r="L22">
        <v>27149</v>
      </c>
      <c r="M22">
        <v>121352</v>
      </c>
      <c r="N22">
        <v>148501</v>
      </c>
    </row>
    <row r="23" spans="11:14" x14ac:dyDescent="0.4">
      <c r="K23" s="6" t="s">
        <v>14</v>
      </c>
      <c r="L23">
        <v>240157</v>
      </c>
      <c r="M23">
        <v>218103</v>
      </c>
      <c r="N23">
        <v>458260</v>
      </c>
    </row>
    <row r="24" spans="11:14" x14ac:dyDescent="0.4">
      <c r="K24" s="6" t="s">
        <v>25</v>
      </c>
      <c r="L24">
        <v>41572</v>
      </c>
      <c r="M24">
        <v>81317</v>
      </c>
      <c r="N24">
        <v>122889</v>
      </c>
    </row>
    <row r="25" spans="11:14" x14ac:dyDescent="0.4">
      <c r="K25" s="6" t="s">
        <v>8</v>
      </c>
      <c r="L25">
        <v>487105</v>
      </c>
      <c r="M25">
        <v>323111</v>
      </c>
      <c r="N25">
        <v>810216</v>
      </c>
    </row>
    <row r="26" spans="11:14" x14ac:dyDescent="0.4">
      <c r="K26" s="6" t="s">
        <v>39</v>
      </c>
      <c r="L26">
        <v>171586</v>
      </c>
      <c r="M26">
        <v>69695</v>
      </c>
      <c r="N26">
        <v>241281</v>
      </c>
    </row>
    <row r="27" spans="11:14" x14ac:dyDescent="0.4">
      <c r="K27" s="6" t="s">
        <v>105</v>
      </c>
      <c r="L27">
        <v>1597444</v>
      </c>
      <c r="M27">
        <v>1315202</v>
      </c>
      <c r="N27">
        <v>2912646</v>
      </c>
    </row>
  </sheetData>
  <conditionalFormatting sqref="K18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8:N19 K20:K2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L20:N2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57F3-6084-40F6-8E09-F00250D3EB58}">
  <dimension ref="A3:I105"/>
  <sheetViews>
    <sheetView workbookViewId="0">
      <selection activeCell="F9" sqref="F9"/>
    </sheetView>
  </sheetViews>
  <sheetFormatPr defaultRowHeight="14.6" x14ac:dyDescent="0.4"/>
  <cols>
    <col min="1" max="1" width="12.3828125" bestFit="1" customWidth="1"/>
    <col min="2" max="2" width="15.15234375" bestFit="1" customWidth="1"/>
    <col min="3" max="3" width="7.3828125" bestFit="1" customWidth="1"/>
    <col min="4" max="4" width="8.921875" bestFit="1" customWidth="1"/>
    <col min="5" max="6" width="7.3828125" bestFit="1" customWidth="1"/>
    <col min="7" max="7" width="8.921875" bestFit="1" customWidth="1"/>
    <col min="8" max="8" width="7.3828125" bestFit="1" customWidth="1"/>
    <col min="9" max="9" width="10.69140625" bestFit="1" customWidth="1"/>
  </cols>
  <sheetData>
    <row r="3" spans="1:9" x14ac:dyDescent="0.4">
      <c r="A3" s="5" t="s">
        <v>148</v>
      </c>
      <c r="B3" s="5" t="s">
        <v>106</v>
      </c>
    </row>
    <row r="4" spans="1:9" x14ac:dyDescent="0.4">
      <c r="A4" s="5" t="s">
        <v>104</v>
      </c>
      <c r="B4" t="s">
        <v>12</v>
      </c>
      <c r="C4" t="s">
        <v>17</v>
      </c>
      <c r="D4" t="s">
        <v>19</v>
      </c>
      <c r="E4" t="s">
        <v>14</v>
      </c>
      <c r="F4" t="s">
        <v>25</v>
      </c>
      <c r="G4" t="s">
        <v>8</v>
      </c>
      <c r="H4" t="s">
        <v>39</v>
      </c>
      <c r="I4" t="s">
        <v>105</v>
      </c>
    </row>
    <row r="5" spans="1:9" x14ac:dyDescent="0.4">
      <c r="A5" s="6" t="s">
        <v>9</v>
      </c>
      <c r="B5" s="4">
        <v>1055014</v>
      </c>
      <c r="C5" s="4">
        <v>542160</v>
      </c>
      <c r="D5" s="4">
        <v>1119875</v>
      </c>
      <c r="E5" s="4">
        <v>719562</v>
      </c>
      <c r="F5" s="4">
        <v>302380</v>
      </c>
      <c r="G5" s="4">
        <v>852805</v>
      </c>
      <c r="H5" s="4">
        <v>750263</v>
      </c>
      <c r="I5" s="4">
        <v>5342059</v>
      </c>
    </row>
    <row r="6" spans="1:9" x14ac:dyDescent="0.4">
      <c r="A6" s="27">
        <v>395</v>
      </c>
      <c r="B6" s="4"/>
      <c r="C6" s="4"/>
      <c r="D6" s="4">
        <v>198995</v>
      </c>
      <c r="E6" s="4"/>
      <c r="F6" s="4"/>
      <c r="G6" s="4"/>
      <c r="H6" s="4"/>
      <c r="I6" s="4">
        <v>198995</v>
      </c>
    </row>
    <row r="7" spans="1:9" x14ac:dyDescent="0.4">
      <c r="A7" s="27">
        <v>572</v>
      </c>
      <c r="B7" s="4"/>
      <c r="C7" s="4"/>
      <c r="D7" s="4"/>
      <c r="E7" s="4"/>
      <c r="F7" s="4">
        <v>149950</v>
      </c>
      <c r="G7" s="4"/>
      <c r="H7" s="4"/>
      <c r="I7" s="4">
        <v>149950</v>
      </c>
    </row>
    <row r="8" spans="1:9" x14ac:dyDescent="0.4">
      <c r="A8" s="27">
        <v>1251</v>
      </c>
      <c r="B8" s="4"/>
      <c r="C8" s="4"/>
      <c r="D8" s="4">
        <v>175000</v>
      </c>
      <c r="E8" s="4"/>
      <c r="F8" s="4"/>
      <c r="G8" s="4"/>
      <c r="H8" s="4"/>
      <c r="I8" s="4">
        <v>175000</v>
      </c>
    </row>
    <row r="9" spans="1:9" x14ac:dyDescent="0.4">
      <c r="A9" s="27">
        <v>1600</v>
      </c>
      <c r="B9" s="4"/>
      <c r="C9" s="4"/>
      <c r="D9" s="4">
        <v>113995</v>
      </c>
      <c r="E9" s="4"/>
      <c r="F9" s="4"/>
      <c r="G9" s="4"/>
      <c r="H9" s="4"/>
      <c r="I9" s="4">
        <v>113995</v>
      </c>
    </row>
    <row r="10" spans="1:9" x14ac:dyDescent="0.4">
      <c r="A10" s="27">
        <v>1939</v>
      </c>
      <c r="B10" s="4"/>
      <c r="C10" s="4"/>
      <c r="D10" s="4"/>
      <c r="E10" s="4"/>
      <c r="F10" s="4"/>
      <c r="G10" s="4">
        <v>169995</v>
      </c>
      <c r="H10" s="4"/>
      <c r="I10" s="4">
        <v>169995</v>
      </c>
    </row>
    <row r="11" spans="1:9" x14ac:dyDescent="0.4">
      <c r="A11" s="27">
        <v>1986</v>
      </c>
      <c r="B11" s="4"/>
      <c r="C11" s="4"/>
      <c r="D11" s="4"/>
      <c r="E11" s="4"/>
      <c r="F11" s="4"/>
      <c r="G11" s="4">
        <v>152950</v>
      </c>
      <c r="H11" s="4"/>
      <c r="I11" s="4">
        <v>152950</v>
      </c>
    </row>
    <row r="12" spans="1:9" x14ac:dyDescent="0.4">
      <c r="A12" s="27">
        <v>3065</v>
      </c>
      <c r="B12" s="4"/>
      <c r="C12" s="4"/>
      <c r="D12" s="4"/>
      <c r="E12" s="4">
        <v>217950</v>
      </c>
      <c r="F12" s="4"/>
      <c r="G12" s="4"/>
      <c r="H12" s="4"/>
      <c r="I12" s="4">
        <v>217950</v>
      </c>
    </row>
    <row r="13" spans="1:9" x14ac:dyDescent="0.4">
      <c r="A13" s="27">
        <v>3418</v>
      </c>
      <c r="B13" s="4"/>
      <c r="C13" s="4"/>
      <c r="D13" s="4">
        <v>126990</v>
      </c>
      <c r="E13" s="4"/>
      <c r="F13" s="4"/>
      <c r="G13" s="4"/>
      <c r="H13" s="4"/>
      <c r="I13" s="4">
        <v>126990</v>
      </c>
    </row>
    <row r="14" spans="1:9" x14ac:dyDescent="0.4">
      <c r="A14" s="27">
        <v>3500</v>
      </c>
      <c r="B14" s="4">
        <v>168999</v>
      </c>
      <c r="C14" s="4"/>
      <c r="D14" s="4"/>
      <c r="E14" s="4"/>
      <c r="F14" s="4"/>
      <c r="G14" s="4"/>
      <c r="H14" s="4"/>
      <c r="I14" s="4">
        <v>168999</v>
      </c>
    </row>
    <row r="15" spans="1:9" x14ac:dyDescent="0.4">
      <c r="A15" s="27">
        <v>3751</v>
      </c>
      <c r="B15" s="4"/>
      <c r="C15" s="4"/>
      <c r="D15" s="4"/>
      <c r="E15" s="4"/>
      <c r="F15" s="4"/>
      <c r="G15" s="4"/>
      <c r="H15" s="4">
        <v>109900</v>
      </c>
      <c r="I15" s="4">
        <v>109900</v>
      </c>
    </row>
    <row r="16" spans="1:9" x14ac:dyDescent="0.4">
      <c r="A16" s="27">
        <v>4850</v>
      </c>
      <c r="B16" s="4"/>
      <c r="C16" s="4"/>
      <c r="D16" s="4"/>
      <c r="E16" s="4"/>
      <c r="F16" s="4"/>
      <c r="G16" s="4"/>
      <c r="H16" s="4">
        <v>114995</v>
      </c>
      <c r="I16" s="4">
        <v>114995</v>
      </c>
    </row>
    <row r="17" spans="1:9" x14ac:dyDescent="0.4">
      <c r="A17" s="27">
        <v>6006</v>
      </c>
      <c r="B17" s="4"/>
      <c r="C17" s="4"/>
      <c r="D17" s="4"/>
      <c r="E17" s="4"/>
      <c r="F17" s="4"/>
      <c r="G17" s="4">
        <v>84990</v>
      </c>
      <c r="H17" s="4"/>
      <c r="I17" s="4">
        <v>84990</v>
      </c>
    </row>
    <row r="18" spans="1:9" x14ac:dyDescent="0.4">
      <c r="A18" s="27">
        <v>6231</v>
      </c>
      <c r="B18" s="4"/>
      <c r="C18" s="4"/>
      <c r="D18" s="4">
        <v>109950</v>
      </c>
      <c r="E18" s="4"/>
      <c r="F18" s="4"/>
      <c r="G18" s="4"/>
      <c r="H18" s="4"/>
      <c r="I18" s="4">
        <v>109950</v>
      </c>
    </row>
    <row r="19" spans="1:9" x14ac:dyDescent="0.4">
      <c r="A19" s="27">
        <v>6500</v>
      </c>
      <c r="B19" s="4"/>
      <c r="C19" s="4"/>
      <c r="D19" s="4"/>
      <c r="E19" s="4"/>
      <c r="F19" s="4"/>
      <c r="G19" s="4">
        <v>69500</v>
      </c>
      <c r="H19" s="4"/>
      <c r="I19" s="4">
        <v>69500</v>
      </c>
    </row>
    <row r="20" spans="1:9" x14ac:dyDescent="0.4">
      <c r="A20" s="27">
        <v>6733</v>
      </c>
      <c r="B20" s="4"/>
      <c r="C20" s="4"/>
      <c r="D20" s="4">
        <v>109995</v>
      </c>
      <c r="E20" s="4"/>
      <c r="F20" s="4"/>
      <c r="G20" s="4"/>
      <c r="H20" s="4"/>
      <c r="I20" s="4">
        <v>109995</v>
      </c>
    </row>
    <row r="21" spans="1:9" x14ac:dyDescent="0.4">
      <c r="A21" s="27">
        <v>7000</v>
      </c>
      <c r="B21" s="4">
        <v>88480</v>
      </c>
      <c r="C21" s="4"/>
      <c r="D21" s="4"/>
      <c r="E21" s="4"/>
      <c r="F21" s="4"/>
      <c r="G21" s="4"/>
      <c r="H21" s="4"/>
      <c r="I21" s="4">
        <v>88480</v>
      </c>
    </row>
    <row r="22" spans="1:9" x14ac:dyDescent="0.4">
      <c r="A22" s="27">
        <v>7521</v>
      </c>
      <c r="B22" s="4"/>
      <c r="C22" s="4"/>
      <c r="D22" s="4">
        <v>284950</v>
      </c>
      <c r="E22" s="4"/>
      <c r="F22" s="4"/>
      <c r="G22" s="4"/>
      <c r="H22" s="4"/>
      <c r="I22" s="4">
        <v>284950</v>
      </c>
    </row>
    <row r="23" spans="1:9" x14ac:dyDescent="0.4">
      <c r="A23" s="27">
        <v>8938</v>
      </c>
      <c r="B23" s="4">
        <v>109990</v>
      </c>
      <c r="C23" s="4"/>
      <c r="D23" s="4"/>
      <c r="E23" s="4"/>
      <c r="F23" s="4"/>
      <c r="G23" s="4"/>
      <c r="H23" s="4"/>
      <c r="I23" s="4">
        <v>109990</v>
      </c>
    </row>
    <row r="24" spans="1:9" x14ac:dyDescent="0.4">
      <c r="A24" s="27">
        <v>9900</v>
      </c>
      <c r="B24" s="4"/>
      <c r="C24" s="4"/>
      <c r="D24" s="4"/>
      <c r="E24" s="4"/>
      <c r="F24" s="4"/>
      <c r="G24" s="4"/>
      <c r="H24" s="4">
        <v>71750</v>
      </c>
      <c r="I24" s="4">
        <v>71750</v>
      </c>
    </row>
    <row r="25" spans="1:9" x14ac:dyDescent="0.4">
      <c r="A25" s="27">
        <v>10500</v>
      </c>
      <c r="B25" s="4"/>
      <c r="C25" s="4"/>
      <c r="D25" s="4"/>
      <c r="E25" s="4">
        <v>96900</v>
      </c>
      <c r="F25" s="4"/>
      <c r="G25" s="4"/>
      <c r="H25" s="4"/>
      <c r="I25" s="4">
        <v>96900</v>
      </c>
    </row>
    <row r="26" spans="1:9" x14ac:dyDescent="0.4">
      <c r="A26" s="27">
        <v>10700</v>
      </c>
      <c r="B26" s="4">
        <v>127995</v>
      </c>
      <c r="C26" s="4"/>
      <c r="D26" s="4"/>
      <c r="E26" s="4"/>
      <c r="F26" s="4"/>
      <c r="G26" s="4"/>
      <c r="H26" s="4"/>
      <c r="I26" s="4">
        <v>127995</v>
      </c>
    </row>
    <row r="27" spans="1:9" x14ac:dyDescent="0.4">
      <c r="A27" s="27">
        <v>12554</v>
      </c>
      <c r="B27" s="4"/>
      <c r="C27" s="4"/>
      <c r="D27" s="4"/>
      <c r="E27" s="4"/>
      <c r="F27" s="4"/>
      <c r="G27" s="4"/>
      <c r="H27" s="4">
        <v>77950</v>
      </c>
      <c r="I27" s="4">
        <v>77950</v>
      </c>
    </row>
    <row r="28" spans="1:9" x14ac:dyDescent="0.4">
      <c r="A28" s="27">
        <v>14500</v>
      </c>
      <c r="B28" s="4"/>
      <c r="C28" s="4"/>
      <c r="D28" s="4"/>
      <c r="E28" s="4"/>
      <c r="F28" s="4"/>
      <c r="G28" s="4"/>
      <c r="H28" s="4">
        <v>77500</v>
      </c>
      <c r="I28" s="4">
        <v>77500</v>
      </c>
    </row>
    <row r="29" spans="1:9" x14ac:dyDescent="0.4">
      <c r="A29" s="27">
        <v>15074</v>
      </c>
      <c r="B29" s="4"/>
      <c r="C29" s="4">
        <v>78795</v>
      </c>
      <c r="D29" s="4"/>
      <c r="E29" s="4"/>
      <c r="F29" s="4"/>
      <c r="G29" s="4"/>
      <c r="H29" s="4"/>
      <c r="I29" s="4">
        <v>78795</v>
      </c>
    </row>
    <row r="30" spans="1:9" x14ac:dyDescent="0.4">
      <c r="A30" s="27">
        <v>15750</v>
      </c>
      <c r="B30" s="4"/>
      <c r="C30" s="4"/>
      <c r="D30" s="4"/>
      <c r="E30" s="4"/>
      <c r="F30" s="4"/>
      <c r="G30" s="4"/>
      <c r="H30" s="4">
        <v>89990</v>
      </c>
      <c r="I30" s="4">
        <v>89990</v>
      </c>
    </row>
    <row r="31" spans="1:9" x14ac:dyDescent="0.4">
      <c r="A31" s="27">
        <v>16250</v>
      </c>
      <c r="B31" s="4">
        <v>59900</v>
      </c>
      <c r="C31" s="4"/>
      <c r="D31" s="4"/>
      <c r="E31" s="4"/>
      <c r="F31" s="4"/>
      <c r="G31" s="4"/>
      <c r="H31" s="4"/>
      <c r="I31" s="4">
        <v>59900</v>
      </c>
    </row>
    <row r="32" spans="1:9" x14ac:dyDescent="0.4">
      <c r="A32" s="27">
        <v>16515</v>
      </c>
      <c r="B32" s="4">
        <v>47950</v>
      </c>
      <c r="C32" s="4"/>
      <c r="D32" s="4"/>
      <c r="E32" s="4"/>
      <c r="F32" s="4"/>
      <c r="G32" s="4"/>
      <c r="H32" s="4"/>
      <c r="I32" s="4">
        <v>47950</v>
      </c>
    </row>
    <row r="33" spans="1:9" x14ac:dyDescent="0.4">
      <c r="A33" s="27">
        <v>17500</v>
      </c>
      <c r="B33" s="4"/>
      <c r="C33" s="4"/>
      <c r="D33" s="4"/>
      <c r="E33" s="4">
        <v>71888</v>
      </c>
      <c r="F33" s="4"/>
      <c r="G33" s="4"/>
      <c r="H33" s="4"/>
      <c r="I33" s="4">
        <v>71888</v>
      </c>
    </row>
    <row r="34" spans="1:9" x14ac:dyDescent="0.4">
      <c r="A34" s="27">
        <v>18114</v>
      </c>
      <c r="B34" s="4"/>
      <c r="C34" s="4">
        <v>179900</v>
      </c>
      <c r="D34" s="4"/>
      <c r="E34" s="4"/>
      <c r="F34" s="4"/>
      <c r="G34" s="4"/>
      <c r="H34" s="4"/>
      <c r="I34" s="4">
        <v>179900</v>
      </c>
    </row>
    <row r="35" spans="1:9" x14ac:dyDescent="0.4">
      <c r="A35" s="27">
        <v>18150</v>
      </c>
      <c r="B35" s="4"/>
      <c r="C35" s="4">
        <v>76995</v>
      </c>
      <c r="D35" s="4"/>
      <c r="E35" s="4"/>
      <c r="F35" s="4"/>
      <c r="G35" s="4"/>
      <c r="H35" s="4"/>
      <c r="I35" s="4">
        <v>76995</v>
      </c>
    </row>
    <row r="36" spans="1:9" x14ac:dyDescent="0.4">
      <c r="A36" s="27">
        <v>18706</v>
      </c>
      <c r="B36" s="4"/>
      <c r="C36" s="4"/>
      <c r="D36" s="4"/>
      <c r="E36" s="4"/>
      <c r="F36" s="4"/>
      <c r="G36" s="4"/>
      <c r="H36" s="4">
        <v>39988</v>
      </c>
      <c r="I36" s="4">
        <v>39988</v>
      </c>
    </row>
    <row r="37" spans="1:9" x14ac:dyDescent="0.4">
      <c r="A37" s="27">
        <v>19000</v>
      </c>
      <c r="B37" s="4"/>
      <c r="C37" s="4"/>
      <c r="D37" s="4"/>
      <c r="E37" s="4"/>
      <c r="F37" s="4">
        <v>76950</v>
      </c>
      <c r="G37" s="4"/>
      <c r="H37" s="4"/>
      <c r="I37" s="4">
        <v>76950</v>
      </c>
    </row>
    <row r="38" spans="1:9" x14ac:dyDescent="0.4">
      <c r="A38" s="27">
        <v>22000</v>
      </c>
      <c r="B38" s="4"/>
      <c r="C38" s="4"/>
      <c r="D38" s="4"/>
      <c r="E38" s="4"/>
      <c r="F38" s="4">
        <v>75480</v>
      </c>
      <c r="G38" s="4"/>
      <c r="H38" s="4"/>
      <c r="I38" s="4">
        <v>75480</v>
      </c>
    </row>
    <row r="39" spans="1:9" x14ac:dyDescent="0.4">
      <c r="A39" s="27">
        <v>22724</v>
      </c>
      <c r="B39" s="4">
        <v>33970</v>
      </c>
      <c r="C39" s="4"/>
      <c r="D39" s="4"/>
      <c r="E39" s="4"/>
      <c r="F39" s="4"/>
      <c r="G39" s="4"/>
      <c r="H39" s="4"/>
      <c r="I39" s="4">
        <v>33970</v>
      </c>
    </row>
    <row r="40" spans="1:9" x14ac:dyDescent="0.4">
      <c r="A40" s="27">
        <v>22757</v>
      </c>
      <c r="B40" s="4"/>
      <c r="C40" s="4"/>
      <c r="D40" s="4"/>
      <c r="E40" s="4"/>
      <c r="F40" s="4"/>
      <c r="G40" s="4">
        <v>49000</v>
      </c>
      <c r="H40" s="4"/>
      <c r="I40" s="4">
        <v>49000</v>
      </c>
    </row>
    <row r="41" spans="1:9" x14ac:dyDescent="0.4">
      <c r="A41" s="27">
        <v>22975</v>
      </c>
      <c r="B41" s="4"/>
      <c r="C41" s="4"/>
      <c r="D41" s="4"/>
      <c r="E41" s="4"/>
      <c r="F41" s="4"/>
      <c r="G41" s="4"/>
      <c r="H41" s="4">
        <v>51990</v>
      </c>
      <c r="I41" s="4">
        <v>51990</v>
      </c>
    </row>
    <row r="42" spans="1:9" x14ac:dyDescent="0.4">
      <c r="A42" s="27">
        <v>23101</v>
      </c>
      <c r="B42" s="4"/>
      <c r="C42" s="4">
        <v>81000</v>
      </c>
      <c r="D42" s="4"/>
      <c r="E42" s="4"/>
      <c r="F42" s="4"/>
      <c r="G42" s="4"/>
      <c r="H42" s="4"/>
      <c r="I42" s="4">
        <v>81000</v>
      </c>
    </row>
    <row r="43" spans="1:9" x14ac:dyDescent="0.4">
      <c r="A43" s="27">
        <v>24457</v>
      </c>
      <c r="B43" s="4"/>
      <c r="C43" s="4"/>
      <c r="D43" s="4"/>
      <c r="E43" s="4"/>
      <c r="F43" s="4"/>
      <c r="G43" s="4">
        <v>36995</v>
      </c>
      <c r="H43" s="4"/>
      <c r="I43" s="4">
        <v>36995</v>
      </c>
    </row>
    <row r="44" spans="1:9" x14ac:dyDescent="0.4">
      <c r="A44" s="27">
        <v>25000</v>
      </c>
      <c r="B44" s="4">
        <v>69950</v>
      </c>
      <c r="C44" s="4"/>
      <c r="D44" s="4"/>
      <c r="E44" s="4"/>
      <c r="F44" s="4"/>
      <c r="G44" s="4"/>
      <c r="H44" s="4"/>
      <c r="I44" s="4">
        <v>69950</v>
      </c>
    </row>
    <row r="45" spans="1:9" x14ac:dyDescent="0.4">
      <c r="A45" s="27">
        <v>25435</v>
      </c>
      <c r="B45" s="4"/>
      <c r="C45" s="4"/>
      <c r="D45" s="4"/>
      <c r="E45" s="4">
        <v>40000</v>
      </c>
      <c r="F45" s="4"/>
      <c r="G45" s="4"/>
      <c r="H45" s="4"/>
      <c r="I45" s="4">
        <v>40000</v>
      </c>
    </row>
    <row r="46" spans="1:9" x14ac:dyDescent="0.4">
      <c r="A46" s="27">
        <v>26900</v>
      </c>
      <c r="B46" s="4"/>
      <c r="C46" s="4"/>
      <c r="D46" s="4"/>
      <c r="E46" s="4"/>
      <c r="F46" s="4"/>
      <c r="G46" s="4">
        <v>29500</v>
      </c>
      <c r="H46" s="4"/>
      <c r="I46" s="4">
        <v>29500</v>
      </c>
    </row>
    <row r="47" spans="1:9" x14ac:dyDescent="0.4">
      <c r="A47" s="27">
        <v>26992</v>
      </c>
      <c r="B47" s="4">
        <v>43900</v>
      </c>
      <c r="C47" s="4"/>
      <c r="D47" s="4"/>
      <c r="E47" s="4"/>
      <c r="F47" s="4"/>
      <c r="G47" s="4"/>
      <c r="H47" s="4"/>
      <c r="I47" s="4">
        <v>43900</v>
      </c>
    </row>
    <row r="48" spans="1:9" x14ac:dyDescent="0.4">
      <c r="A48" s="27">
        <v>27828</v>
      </c>
      <c r="B48" s="4">
        <v>78995</v>
      </c>
      <c r="C48" s="4"/>
      <c r="D48" s="4"/>
      <c r="E48" s="4"/>
      <c r="F48" s="4"/>
      <c r="G48" s="4"/>
      <c r="H48" s="4"/>
      <c r="I48" s="4">
        <v>78995</v>
      </c>
    </row>
    <row r="49" spans="1:9" x14ac:dyDescent="0.4">
      <c r="A49" s="27">
        <v>28700</v>
      </c>
      <c r="B49" s="4"/>
      <c r="C49" s="4"/>
      <c r="D49" s="4"/>
      <c r="E49" s="4"/>
      <c r="F49" s="4"/>
      <c r="G49" s="4">
        <v>39000</v>
      </c>
      <c r="H49" s="4"/>
      <c r="I49" s="4">
        <v>39000</v>
      </c>
    </row>
    <row r="50" spans="1:9" x14ac:dyDescent="0.4">
      <c r="A50" s="27">
        <v>28960</v>
      </c>
      <c r="B50" s="4"/>
      <c r="C50" s="4"/>
      <c r="D50" s="4"/>
      <c r="E50" s="4">
        <v>66499</v>
      </c>
      <c r="F50" s="4"/>
      <c r="G50" s="4"/>
      <c r="H50" s="4"/>
      <c r="I50" s="4">
        <v>66499</v>
      </c>
    </row>
    <row r="51" spans="1:9" x14ac:dyDescent="0.4">
      <c r="A51" s="27">
        <v>30793</v>
      </c>
      <c r="B51" s="4"/>
      <c r="C51" s="4"/>
      <c r="D51" s="4"/>
      <c r="E51" s="4">
        <v>34995</v>
      </c>
      <c r="F51" s="4"/>
      <c r="G51" s="4"/>
      <c r="H51" s="4"/>
      <c r="I51" s="4">
        <v>34995</v>
      </c>
    </row>
    <row r="52" spans="1:9" x14ac:dyDescent="0.4">
      <c r="A52" s="27">
        <v>31261</v>
      </c>
      <c r="B52" s="4">
        <v>36940</v>
      </c>
      <c r="C52" s="4"/>
      <c r="D52" s="4"/>
      <c r="E52" s="4"/>
      <c r="F52" s="4"/>
      <c r="G52" s="4"/>
      <c r="H52" s="4"/>
      <c r="I52" s="4">
        <v>36940</v>
      </c>
    </row>
    <row r="53" spans="1:9" x14ac:dyDescent="0.4">
      <c r="A53" s="27">
        <v>31383</v>
      </c>
      <c r="B53" s="4">
        <v>44490</v>
      </c>
      <c r="C53" s="4"/>
      <c r="D53" s="4"/>
      <c r="E53" s="4"/>
      <c r="F53" s="4"/>
      <c r="G53" s="4"/>
      <c r="H53" s="4"/>
      <c r="I53" s="4">
        <v>44490</v>
      </c>
    </row>
    <row r="54" spans="1:9" x14ac:dyDescent="0.4">
      <c r="A54" s="27">
        <v>32600</v>
      </c>
      <c r="B54" s="4"/>
      <c r="C54" s="4"/>
      <c r="D54" s="4"/>
      <c r="E54" s="4"/>
      <c r="F54" s="4"/>
      <c r="G54" s="4"/>
      <c r="H54" s="4">
        <v>76250</v>
      </c>
      <c r="I54" s="4">
        <v>76250</v>
      </c>
    </row>
    <row r="55" spans="1:9" x14ac:dyDescent="0.4">
      <c r="A55" s="27">
        <v>36000</v>
      </c>
      <c r="B55" s="4"/>
      <c r="C55" s="4"/>
      <c r="D55" s="4"/>
      <c r="E55" s="4"/>
      <c r="F55" s="4"/>
      <c r="G55" s="4"/>
      <c r="H55" s="4">
        <v>39950</v>
      </c>
      <c r="I55" s="4">
        <v>39950</v>
      </c>
    </row>
    <row r="56" spans="1:9" x14ac:dyDescent="0.4">
      <c r="A56" s="27">
        <v>36495</v>
      </c>
      <c r="B56" s="4">
        <v>36500</v>
      </c>
      <c r="C56" s="4"/>
      <c r="D56" s="4"/>
      <c r="E56" s="4"/>
      <c r="F56" s="4"/>
      <c r="G56" s="4"/>
      <c r="H56" s="4"/>
      <c r="I56" s="4">
        <v>36500</v>
      </c>
    </row>
    <row r="57" spans="1:9" x14ac:dyDescent="0.4">
      <c r="A57" s="27">
        <v>36980</v>
      </c>
      <c r="B57" s="4"/>
      <c r="C57" s="4">
        <v>31980</v>
      </c>
      <c r="D57" s="4"/>
      <c r="E57" s="4"/>
      <c r="F57" s="4"/>
      <c r="G57" s="4"/>
      <c r="H57" s="4"/>
      <c r="I57" s="4">
        <v>31980</v>
      </c>
    </row>
    <row r="58" spans="1:9" x14ac:dyDescent="0.4">
      <c r="A58" s="27">
        <v>37200</v>
      </c>
      <c r="B58" s="4"/>
      <c r="C58" s="4"/>
      <c r="D58" s="4"/>
      <c r="E58" s="4">
        <v>74900</v>
      </c>
      <c r="F58" s="4"/>
      <c r="G58" s="4"/>
      <c r="H58" s="4"/>
      <c r="I58" s="4">
        <v>74900</v>
      </c>
    </row>
    <row r="59" spans="1:9" x14ac:dyDescent="0.4">
      <c r="A59" s="27">
        <v>38081</v>
      </c>
      <c r="B59" s="4"/>
      <c r="C59" s="4"/>
      <c r="D59" s="4"/>
      <c r="E59" s="4"/>
      <c r="F59" s="4"/>
      <c r="G59" s="4">
        <v>79990</v>
      </c>
      <c r="H59" s="4"/>
      <c r="I59" s="4">
        <v>79990</v>
      </c>
    </row>
    <row r="60" spans="1:9" x14ac:dyDescent="0.4">
      <c r="A60" s="27">
        <v>38704</v>
      </c>
      <c r="B60" s="4"/>
      <c r="C60" s="4"/>
      <c r="D60" s="4"/>
      <c r="E60" s="4">
        <v>42950</v>
      </c>
      <c r="F60" s="4"/>
      <c r="G60" s="4"/>
      <c r="H60" s="4"/>
      <c r="I60" s="4">
        <v>42950</v>
      </c>
    </row>
    <row r="61" spans="1:9" x14ac:dyDescent="0.4">
      <c r="A61" s="27">
        <v>40400</v>
      </c>
      <c r="B61" s="4">
        <v>47990</v>
      </c>
      <c r="C61" s="4"/>
      <c r="D61" s="4"/>
      <c r="E61" s="4"/>
      <c r="F61" s="4"/>
      <c r="G61" s="4"/>
      <c r="H61" s="4"/>
      <c r="I61" s="4">
        <v>47990</v>
      </c>
    </row>
    <row r="62" spans="1:9" x14ac:dyDescent="0.4">
      <c r="A62" s="27">
        <v>41100</v>
      </c>
      <c r="B62" s="4">
        <v>29975</v>
      </c>
      <c r="C62" s="4"/>
      <c r="D62" s="4"/>
      <c r="E62" s="4"/>
      <c r="F62" s="4"/>
      <c r="G62" s="4"/>
      <c r="H62" s="4"/>
      <c r="I62" s="4">
        <v>29975</v>
      </c>
    </row>
    <row r="63" spans="1:9" x14ac:dyDescent="0.4">
      <c r="A63" s="27">
        <v>43000</v>
      </c>
      <c r="B63" s="4"/>
      <c r="C63" s="4"/>
      <c r="D63" s="4"/>
      <c r="E63" s="4"/>
      <c r="F63" s="4"/>
      <c r="G63" s="4">
        <v>39950</v>
      </c>
      <c r="H63" s="4"/>
      <c r="I63" s="4">
        <v>39950</v>
      </c>
    </row>
    <row r="64" spans="1:9" x14ac:dyDescent="0.4">
      <c r="A64" s="27">
        <v>44256</v>
      </c>
      <c r="B64" s="4"/>
      <c r="C64" s="4">
        <v>68990</v>
      </c>
      <c r="D64" s="4"/>
      <c r="E64" s="4"/>
      <c r="F64" s="4"/>
      <c r="G64" s="4"/>
      <c r="H64" s="4"/>
      <c r="I64" s="4">
        <v>68990</v>
      </c>
    </row>
    <row r="65" spans="1:9" x14ac:dyDescent="0.4">
      <c r="A65" s="27">
        <v>47000</v>
      </c>
      <c r="B65" s="4">
        <v>28990</v>
      </c>
      <c r="C65" s="4"/>
      <c r="D65" s="4"/>
      <c r="E65" s="4"/>
      <c r="F65" s="4"/>
      <c r="G65" s="4"/>
      <c r="H65" s="4"/>
      <c r="I65" s="4">
        <v>28990</v>
      </c>
    </row>
    <row r="66" spans="1:9" x14ac:dyDescent="0.4">
      <c r="A66" s="27">
        <v>48000</v>
      </c>
      <c r="B66" s="4"/>
      <c r="C66" s="4"/>
      <c r="D66" s="4"/>
      <c r="E66" s="4">
        <v>73480</v>
      </c>
      <c r="F66" s="4"/>
      <c r="G66" s="4"/>
      <c r="H66" s="4"/>
      <c r="I66" s="4">
        <v>73480</v>
      </c>
    </row>
    <row r="67" spans="1:9" x14ac:dyDescent="0.4">
      <c r="A67" s="27">
        <v>50000</v>
      </c>
      <c r="B67" s="4"/>
      <c r="C67" s="4"/>
      <c r="D67" s="4"/>
      <c r="E67" s="4"/>
      <c r="F67" s="4"/>
      <c r="G67" s="4">
        <v>26995</v>
      </c>
      <c r="H67" s="4"/>
      <c r="I67" s="4">
        <v>26995</v>
      </c>
    </row>
    <row r="68" spans="1:9" x14ac:dyDescent="0.4">
      <c r="A68" s="27">
        <v>60686</v>
      </c>
      <c r="B68" s="4"/>
      <c r="C68" s="4"/>
      <c r="D68" s="4"/>
      <c r="E68" s="4"/>
      <c r="F68" s="4"/>
      <c r="G68" s="4">
        <v>26995</v>
      </c>
      <c r="H68" s="4"/>
      <c r="I68" s="4">
        <v>26995</v>
      </c>
    </row>
    <row r="69" spans="1:9" x14ac:dyDescent="0.4">
      <c r="A69" s="27">
        <v>63000</v>
      </c>
      <c r="B69" s="4"/>
      <c r="C69" s="4">
        <v>24500</v>
      </c>
      <c r="D69" s="4"/>
      <c r="E69" s="4"/>
      <c r="F69" s="4"/>
      <c r="G69" s="4"/>
      <c r="H69" s="4"/>
      <c r="I69" s="4">
        <v>24500</v>
      </c>
    </row>
    <row r="70" spans="1:9" x14ac:dyDescent="0.4">
      <c r="A70" s="27">
        <v>69000</v>
      </c>
      <c r="B70" s="4"/>
      <c r="C70" s="4"/>
      <c r="D70" s="4"/>
      <c r="E70" s="4"/>
      <c r="F70" s="4"/>
      <c r="G70" s="4">
        <v>26950</v>
      </c>
      <c r="H70" s="4"/>
      <c r="I70" s="4">
        <v>26950</v>
      </c>
    </row>
    <row r="71" spans="1:9" x14ac:dyDescent="0.4">
      <c r="A71" s="27">
        <v>69012</v>
      </c>
      <c r="B71" s="4"/>
      <c r="C71" s="4"/>
      <c r="D71" s="4"/>
      <c r="E71" s="4"/>
      <c r="F71" s="4"/>
      <c r="G71" s="4">
        <v>19995</v>
      </c>
      <c r="H71" s="4"/>
      <c r="I71" s="4">
        <v>19995</v>
      </c>
    </row>
    <row r="72" spans="1:9" x14ac:dyDescent="0.4">
      <c r="A72" s="6" t="s">
        <v>7</v>
      </c>
      <c r="B72" s="4">
        <v>445411</v>
      </c>
      <c r="C72" s="4">
        <v>95990</v>
      </c>
      <c r="D72" s="4">
        <v>424390</v>
      </c>
      <c r="E72" s="4">
        <v>194864</v>
      </c>
      <c r="F72" s="4">
        <v>72895</v>
      </c>
      <c r="G72" s="4">
        <v>303233</v>
      </c>
      <c r="H72" s="4">
        <v>82895</v>
      </c>
      <c r="I72" s="4">
        <v>1619678</v>
      </c>
    </row>
    <row r="73" spans="1:9" x14ac:dyDescent="0.4">
      <c r="A73" s="27">
        <v>8200</v>
      </c>
      <c r="B73" s="4"/>
      <c r="C73" s="4">
        <v>95990</v>
      </c>
      <c r="D73" s="4"/>
      <c r="E73" s="4"/>
      <c r="F73" s="4"/>
      <c r="G73" s="4"/>
      <c r="H73" s="4"/>
      <c r="I73" s="4">
        <v>95990</v>
      </c>
    </row>
    <row r="74" spans="1:9" x14ac:dyDescent="0.4">
      <c r="A74" s="27">
        <v>9207</v>
      </c>
      <c r="B74" s="4"/>
      <c r="C74" s="4"/>
      <c r="D74" s="4"/>
      <c r="E74" s="4">
        <v>89950</v>
      </c>
      <c r="F74" s="4"/>
      <c r="G74" s="4"/>
      <c r="H74" s="4"/>
      <c r="I74" s="4">
        <v>89950</v>
      </c>
    </row>
    <row r="75" spans="1:9" x14ac:dyDescent="0.4">
      <c r="A75" s="27">
        <v>9971</v>
      </c>
      <c r="B75" s="4">
        <v>129995</v>
      </c>
      <c r="C75" s="4"/>
      <c r="D75" s="4"/>
      <c r="E75" s="4"/>
      <c r="F75" s="4"/>
      <c r="G75" s="4"/>
      <c r="H75" s="4"/>
      <c r="I75" s="4">
        <v>129995</v>
      </c>
    </row>
    <row r="76" spans="1:9" x14ac:dyDescent="0.4">
      <c r="A76" s="27">
        <v>15736</v>
      </c>
      <c r="B76" s="4"/>
      <c r="C76" s="4"/>
      <c r="D76" s="4"/>
      <c r="E76" s="4"/>
      <c r="F76" s="4"/>
      <c r="G76" s="4">
        <v>79995</v>
      </c>
      <c r="H76" s="4"/>
      <c r="I76" s="4">
        <v>79995</v>
      </c>
    </row>
    <row r="77" spans="1:9" x14ac:dyDescent="0.4">
      <c r="A77" s="27">
        <v>16752</v>
      </c>
      <c r="B77" s="4"/>
      <c r="C77" s="4"/>
      <c r="D77" s="4">
        <v>69990</v>
      </c>
      <c r="E77" s="4"/>
      <c r="F77" s="4"/>
      <c r="G77" s="4"/>
      <c r="H77" s="4"/>
      <c r="I77" s="4">
        <v>69990</v>
      </c>
    </row>
    <row r="78" spans="1:9" x14ac:dyDescent="0.4">
      <c r="A78" s="27">
        <v>17000</v>
      </c>
      <c r="B78" s="4"/>
      <c r="C78" s="4"/>
      <c r="D78" s="4">
        <v>159950</v>
      </c>
      <c r="E78" s="4"/>
      <c r="F78" s="4"/>
      <c r="G78" s="4"/>
      <c r="H78" s="4"/>
      <c r="I78" s="4">
        <v>159950</v>
      </c>
    </row>
    <row r="79" spans="1:9" x14ac:dyDescent="0.4">
      <c r="A79" s="27">
        <v>19300</v>
      </c>
      <c r="B79" s="4">
        <v>66995</v>
      </c>
      <c r="C79" s="4"/>
      <c r="D79" s="4"/>
      <c r="E79" s="4"/>
      <c r="F79" s="4"/>
      <c r="G79" s="4"/>
      <c r="H79" s="4"/>
      <c r="I79" s="4">
        <v>66995</v>
      </c>
    </row>
    <row r="80" spans="1:9" x14ac:dyDescent="0.4">
      <c r="A80" s="27">
        <v>19895</v>
      </c>
      <c r="B80" s="4"/>
      <c r="C80" s="4"/>
      <c r="D80" s="4"/>
      <c r="E80" s="4"/>
      <c r="F80" s="4"/>
      <c r="G80" s="4"/>
      <c r="H80" s="4">
        <v>47900</v>
      </c>
      <c r="I80" s="4">
        <v>47900</v>
      </c>
    </row>
    <row r="81" spans="1:9" x14ac:dyDescent="0.4">
      <c r="A81" s="27">
        <v>20746</v>
      </c>
      <c r="B81" s="4">
        <v>43599</v>
      </c>
      <c r="C81" s="4"/>
      <c r="D81" s="4"/>
      <c r="E81" s="4"/>
      <c r="F81" s="4"/>
      <c r="G81" s="4"/>
      <c r="H81" s="4"/>
      <c r="I81" s="4">
        <v>43599</v>
      </c>
    </row>
    <row r="82" spans="1:9" x14ac:dyDescent="0.4">
      <c r="A82" s="27">
        <v>27000</v>
      </c>
      <c r="B82" s="4"/>
      <c r="C82" s="4"/>
      <c r="D82" s="4"/>
      <c r="E82" s="4"/>
      <c r="F82" s="4"/>
      <c r="G82" s="4">
        <v>27000</v>
      </c>
      <c r="H82" s="4"/>
      <c r="I82" s="4">
        <v>27000</v>
      </c>
    </row>
    <row r="83" spans="1:9" x14ac:dyDescent="0.4">
      <c r="A83" s="27">
        <v>30317</v>
      </c>
      <c r="B83" s="4"/>
      <c r="C83" s="4"/>
      <c r="D83" s="4"/>
      <c r="E83" s="4"/>
      <c r="F83" s="4">
        <v>44900</v>
      </c>
      <c r="G83" s="4"/>
      <c r="H83" s="4"/>
      <c r="I83" s="4">
        <v>44900</v>
      </c>
    </row>
    <row r="84" spans="1:9" x14ac:dyDescent="0.4">
      <c r="A84" s="27">
        <v>32008</v>
      </c>
      <c r="B84" s="4">
        <v>28995</v>
      </c>
      <c r="C84" s="4"/>
      <c r="D84" s="4"/>
      <c r="E84" s="4"/>
      <c r="F84" s="4"/>
      <c r="G84" s="4"/>
      <c r="H84" s="4"/>
      <c r="I84" s="4">
        <v>28995</v>
      </c>
    </row>
    <row r="85" spans="1:9" x14ac:dyDescent="0.4">
      <c r="A85" s="27">
        <v>34467</v>
      </c>
      <c r="B85" s="4"/>
      <c r="C85" s="4"/>
      <c r="D85" s="4"/>
      <c r="E85" s="4">
        <v>29979</v>
      </c>
      <c r="F85" s="4"/>
      <c r="G85" s="4"/>
      <c r="H85" s="4"/>
      <c r="I85" s="4">
        <v>29979</v>
      </c>
    </row>
    <row r="86" spans="1:9" x14ac:dyDescent="0.4">
      <c r="A86" s="27">
        <v>34901</v>
      </c>
      <c r="B86" s="4"/>
      <c r="C86" s="4"/>
      <c r="D86" s="4"/>
      <c r="E86" s="4">
        <v>29990</v>
      </c>
      <c r="F86" s="4"/>
      <c r="G86" s="4"/>
      <c r="H86" s="4"/>
      <c r="I86" s="4">
        <v>29990</v>
      </c>
    </row>
    <row r="87" spans="1:9" x14ac:dyDescent="0.4">
      <c r="A87" s="27">
        <v>35900</v>
      </c>
      <c r="B87" s="4"/>
      <c r="C87" s="4"/>
      <c r="D87" s="4"/>
      <c r="E87" s="4"/>
      <c r="F87" s="4"/>
      <c r="G87" s="4">
        <v>60000</v>
      </c>
      <c r="H87" s="4"/>
      <c r="I87" s="4">
        <v>60000</v>
      </c>
    </row>
    <row r="88" spans="1:9" x14ac:dyDescent="0.4">
      <c r="A88" s="27">
        <v>36667</v>
      </c>
      <c r="B88" s="4"/>
      <c r="C88" s="4"/>
      <c r="D88" s="4"/>
      <c r="E88" s="4"/>
      <c r="F88" s="4"/>
      <c r="G88" s="4">
        <v>29995</v>
      </c>
      <c r="H88" s="4"/>
      <c r="I88" s="4">
        <v>29995</v>
      </c>
    </row>
    <row r="89" spans="1:9" x14ac:dyDescent="0.4">
      <c r="A89" s="27">
        <v>37548</v>
      </c>
      <c r="B89" s="4"/>
      <c r="C89" s="4"/>
      <c r="D89" s="4"/>
      <c r="E89" s="4"/>
      <c r="F89" s="4"/>
      <c r="G89" s="4">
        <v>29999</v>
      </c>
      <c r="H89" s="4"/>
      <c r="I89" s="4">
        <v>29999</v>
      </c>
    </row>
    <row r="90" spans="1:9" x14ac:dyDescent="0.4">
      <c r="A90" s="27">
        <v>41800</v>
      </c>
      <c r="B90" s="4"/>
      <c r="C90" s="4"/>
      <c r="D90" s="4">
        <v>159950</v>
      </c>
      <c r="E90" s="4"/>
      <c r="F90" s="4"/>
      <c r="G90" s="4"/>
      <c r="H90" s="4"/>
      <c r="I90" s="4">
        <v>159950</v>
      </c>
    </row>
    <row r="91" spans="1:9" x14ac:dyDescent="0.4">
      <c r="A91" s="27">
        <v>45800</v>
      </c>
      <c r="B91" s="4"/>
      <c r="C91" s="4"/>
      <c r="D91" s="4">
        <v>34500</v>
      </c>
      <c r="E91" s="4"/>
      <c r="F91" s="4"/>
      <c r="G91" s="4"/>
      <c r="H91" s="4"/>
      <c r="I91" s="4">
        <v>34500</v>
      </c>
    </row>
    <row r="92" spans="1:9" x14ac:dyDescent="0.4">
      <c r="A92" s="27">
        <v>48260</v>
      </c>
      <c r="B92" s="4"/>
      <c r="C92" s="4"/>
      <c r="D92" s="4"/>
      <c r="E92" s="4"/>
      <c r="F92" s="4"/>
      <c r="G92" s="4">
        <v>29999</v>
      </c>
      <c r="H92" s="4"/>
      <c r="I92" s="4">
        <v>29999</v>
      </c>
    </row>
    <row r="93" spans="1:9" x14ac:dyDescent="0.4">
      <c r="A93" s="27">
        <v>49800</v>
      </c>
      <c r="B93" s="4"/>
      <c r="C93" s="4"/>
      <c r="D93" s="4"/>
      <c r="E93" s="4"/>
      <c r="F93" s="4"/>
      <c r="G93" s="4"/>
      <c r="H93" s="4">
        <v>34995</v>
      </c>
      <c r="I93" s="4">
        <v>34995</v>
      </c>
    </row>
    <row r="94" spans="1:9" x14ac:dyDescent="0.4">
      <c r="A94" s="27">
        <v>51000</v>
      </c>
      <c r="B94" s="4"/>
      <c r="C94" s="4"/>
      <c r="D94" s="4"/>
      <c r="E94" s="4"/>
      <c r="F94" s="4">
        <v>27995</v>
      </c>
      <c r="G94" s="4"/>
      <c r="H94" s="4"/>
      <c r="I94" s="4">
        <v>27995</v>
      </c>
    </row>
    <row r="95" spans="1:9" x14ac:dyDescent="0.4">
      <c r="A95" s="27">
        <v>51816</v>
      </c>
      <c r="B95" s="4">
        <v>24995</v>
      </c>
      <c r="C95" s="4"/>
      <c r="D95" s="4"/>
      <c r="E95" s="4"/>
      <c r="F95" s="4"/>
      <c r="G95" s="4"/>
      <c r="H95" s="4"/>
      <c r="I95" s="4">
        <v>24995</v>
      </c>
    </row>
    <row r="96" spans="1:9" x14ac:dyDescent="0.4">
      <c r="A96" s="27">
        <v>52500</v>
      </c>
      <c r="B96" s="4"/>
      <c r="C96" s="4"/>
      <c r="D96" s="4"/>
      <c r="E96" s="4"/>
      <c r="F96" s="4"/>
      <c r="G96" s="4">
        <v>22250</v>
      </c>
      <c r="H96" s="4"/>
      <c r="I96" s="4">
        <v>22250</v>
      </c>
    </row>
    <row r="97" spans="1:9" x14ac:dyDescent="0.4">
      <c r="A97" s="27">
        <v>52638</v>
      </c>
      <c r="B97" s="4">
        <v>29995</v>
      </c>
      <c r="C97" s="4"/>
      <c r="D97" s="4"/>
      <c r="E97" s="4"/>
      <c r="F97" s="4"/>
      <c r="G97" s="4"/>
      <c r="H97" s="4"/>
      <c r="I97" s="4">
        <v>29995</v>
      </c>
    </row>
    <row r="98" spans="1:9" x14ac:dyDescent="0.4">
      <c r="A98" s="27">
        <v>62500</v>
      </c>
      <c r="B98" s="4">
        <v>38500</v>
      </c>
      <c r="C98" s="4"/>
      <c r="D98" s="4"/>
      <c r="E98" s="4"/>
      <c r="F98" s="4"/>
      <c r="G98" s="4"/>
      <c r="H98" s="4"/>
      <c r="I98" s="4">
        <v>38500</v>
      </c>
    </row>
    <row r="99" spans="1:9" x14ac:dyDescent="0.4">
      <c r="A99" s="27">
        <v>66500</v>
      </c>
      <c r="B99" s="4"/>
      <c r="C99" s="4"/>
      <c r="D99" s="4"/>
      <c r="E99" s="4">
        <v>24950</v>
      </c>
      <c r="F99" s="4"/>
      <c r="G99" s="4"/>
      <c r="H99" s="4"/>
      <c r="I99" s="4">
        <v>24950</v>
      </c>
    </row>
    <row r="100" spans="1:9" x14ac:dyDescent="0.4">
      <c r="A100" s="27">
        <v>69500</v>
      </c>
      <c r="B100" s="4"/>
      <c r="C100" s="4"/>
      <c r="D100" s="4"/>
      <c r="E100" s="4"/>
      <c r="F100" s="4"/>
      <c r="G100" s="4">
        <v>23995</v>
      </c>
      <c r="H100" s="4"/>
      <c r="I100" s="4">
        <v>23995</v>
      </c>
    </row>
    <row r="101" spans="1:9" x14ac:dyDescent="0.4">
      <c r="A101" s="27">
        <v>70000</v>
      </c>
      <c r="B101" s="4">
        <v>26495</v>
      </c>
      <c r="C101" s="4"/>
      <c r="D101" s="4"/>
      <c r="E101" s="4"/>
      <c r="F101" s="4"/>
      <c r="G101" s="4"/>
      <c r="H101" s="4"/>
      <c r="I101" s="4">
        <v>26495</v>
      </c>
    </row>
    <row r="102" spans="1:9" x14ac:dyDescent="0.4">
      <c r="A102" s="27">
        <v>73028</v>
      </c>
      <c r="B102" s="4"/>
      <c r="C102" s="4"/>
      <c r="D102" s="4"/>
      <c r="E102" s="4">
        <v>19995</v>
      </c>
      <c r="F102" s="4"/>
      <c r="G102" s="4"/>
      <c r="H102" s="4"/>
      <c r="I102" s="4">
        <v>19995</v>
      </c>
    </row>
    <row r="103" spans="1:9" x14ac:dyDescent="0.4">
      <c r="A103" s="27">
        <v>79000</v>
      </c>
      <c r="B103" s="4">
        <v>27950</v>
      </c>
      <c r="C103" s="4"/>
      <c r="D103" s="4"/>
      <c r="E103" s="4"/>
      <c r="F103" s="4"/>
      <c r="G103" s="4"/>
      <c r="H103" s="4"/>
      <c r="I103" s="4">
        <v>27950</v>
      </c>
    </row>
    <row r="104" spans="1:9" x14ac:dyDescent="0.4">
      <c r="A104" s="27">
        <v>95445</v>
      </c>
      <c r="B104" s="4">
        <v>27892</v>
      </c>
      <c r="C104" s="4"/>
      <c r="D104" s="4"/>
      <c r="E104" s="4"/>
      <c r="F104" s="4"/>
      <c r="G104" s="4"/>
      <c r="H104" s="4"/>
      <c r="I104" s="4">
        <v>27892</v>
      </c>
    </row>
    <row r="105" spans="1:9" x14ac:dyDescent="0.4">
      <c r="A105" s="6" t="s">
        <v>105</v>
      </c>
      <c r="B105" s="4">
        <v>1500425</v>
      </c>
      <c r="C105" s="4">
        <v>638150</v>
      </c>
      <c r="D105" s="4">
        <v>1544265</v>
      </c>
      <c r="E105" s="4">
        <v>914426</v>
      </c>
      <c r="F105" s="4">
        <v>375275</v>
      </c>
      <c r="G105" s="4">
        <v>1156038</v>
      </c>
      <c r="H105" s="4">
        <v>833158</v>
      </c>
      <c r="I105" s="4">
        <v>6961737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D835-299D-439D-B06A-2FECF613D2D4}">
  <dimension ref="A1:G69"/>
  <sheetViews>
    <sheetView workbookViewId="0">
      <selection activeCell="C17" sqref="C17"/>
    </sheetView>
  </sheetViews>
  <sheetFormatPr defaultRowHeight="14.6" x14ac:dyDescent="0.4"/>
  <sheetData>
    <row r="1" spans="1:7" x14ac:dyDescent="0.4">
      <c r="A1" s="7" t="s">
        <v>7</v>
      </c>
      <c r="B1" s="9">
        <v>23995</v>
      </c>
      <c r="C1" s="7" t="s">
        <v>9</v>
      </c>
      <c r="D1" s="9">
        <v>69500</v>
      </c>
      <c r="F1" t="s">
        <v>7</v>
      </c>
      <c r="G1" t="s">
        <v>9</v>
      </c>
    </row>
    <row r="2" spans="1:7" x14ac:dyDescent="0.4">
      <c r="A2" s="8" t="s">
        <v>7</v>
      </c>
      <c r="B2" s="10">
        <v>24995</v>
      </c>
      <c r="C2" s="8" t="s">
        <v>9</v>
      </c>
      <c r="D2" s="10">
        <v>113995</v>
      </c>
      <c r="F2" s="9">
        <v>23995</v>
      </c>
      <c r="G2" s="9">
        <v>69500</v>
      </c>
    </row>
    <row r="3" spans="1:7" x14ac:dyDescent="0.4">
      <c r="A3" s="7" t="s">
        <v>7</v>
      </c>
      <c r="B3" s="9">
        <v>29979</v>
      </c>
      <c r="C3" s="7" t="s">
        <v>9</v>
      </c>
      <c r="D3" s="9">
        <v>76995</v>
      </c>
      <c r="F3" s="10">
        <v>24995</v>
      </c>
      <c r="G3" s="10">
        <v>113995</v>
      </c>
    </row>
    <row r="4" spans="1:7" x14ac:dyDescent="0.4">
      <c r="A4" s="8" t="s">
        <v>7</v>
      </c>
      <c r="B4" s="10">
        <v>29999</v>
      </c>
      <c r="C4" s="8" t="s">
        <v>9</v>
      </c>
      <c r="D4" s="10">
        <v>39950</v>
      </c>
      <c r="F4" s="9">
        <v>29979</v>
      </c>
      <c r="G4" s="9">
        <v>76995</v>
      </c>
    </row>
    <row r="5" spans="1:7" x14ac:dyDescent="0.4">
      <c r="A5" s="7" t="s">
        <v>7</v>
      </c>
      <c r="B5" s="9">
        <v>19995</v>
      </c>
      <c r="C5" s="7" t="s">
        <v>9</v>
      </c>
      <c r="D5" s="9">
        <v>78995</v>
      </c>
      <c r="F5" s="10">
        <v>29999</v>
      </c>
      <c r="G5" s="10">
        <v>39950</v>
      </c>
    </row>
    <row r="6" spans="1:7" x14ac:dyDescent="0.4">
      <c r="A6" s="8" t="s">
        <v>7</v>
      </c>
      <c r="B6" s="10">
        <v>69990</v>
      </c>
      <c r="C6" s="8" t="s">
        <v>9</v>
      </c>
      <c r="D6" s="10">
        <v>26995</v>
      </c>
      <c r="F6" s="9">
        <v>19995</v>
      </c>
      <c r="G6" s="9">
        <v>78995</v>
      </c>
    </row>
    <row r="7" spans="1:7" x14ac:dyDescent="0.4">
      <c r="A7" s="7" t="s">
        <v>7</v>
      </c>
      <c r="B7" s="9">
        <v>24950</v>
      </c>
      <c r="C7" s="7" t="s">
        <v>9</v>
      </c>
      <c r="D7" s="9">
        <v>36995</v>
      </c>
      <c r="F7" s="10">
        <v>69990</v>
      </c>
      <c r="G7" s="10">
        <v>26995</v>
      </c>
    </row>
    <row r="8" spans="1:7" x14ac:dyDescent="0.4">
      <c r="A8" s="8" t="s">
        <v>7</v>
      </c>
      <c r="B8" s="10">
        <v>38500</v>
      </c>
      <c r="C8" s="8" t="s">
        <v>9</v>
      </c>
      <c r="D8" s="10">
        <v>36940</v>
      </c>
      <c r="F8" s="9">
        <v>24950</v>
      </c>
      <c r="G8" s="9">
        <v>36995</v>
      </c>
    </row>
    <row r="9" spans="1:7" x14ac:dyDescent="0.4">
      <c r="A9" s="7" t="s">
        <v>7</v>
      </c>
      <c r="B9" s="9">
        <v>44900</v>
      </c>
      <c r="C9" s="7" t="s">
        <v>9</v>
      </c>
      <c r="D9" s="9">
        <v>127995</v>
      </c>
      <c r="F9" s="10">
        <v>38500</v>
      </c>
      <c r="G9" s="10">
        <v>36940</v>
      </c>
    </row>
    <row r="10" spans="1:7" x14ac:dyDescent="0.4">
      <c r="A10" s="8" t="s">
        <v>7</v>
      </c>
      <c r="B10" s="10">
        <v>89950</v>
      </c>
      <c r="C10" s="8" t="s">
        <v>9</v>
      </c>
      <c r="D10" s="10">
        <v>68990</v>
      </c>
      <c r="F10" s="9">
        <v>44900</v>
      </c>
      <c r="G10" s="9">
        <v>127995</v>
      </c>
    </row>
    <row r="11" spans="1:7" x14ac:dyDescent="0.4">
      <c r="A11" s="7" t="s">
        <v>7</v>
      </c>
      <c r="B11" s="9">
        <v>26495</v>
      </c>
      <c r="C11" s="7" t="s">
        <v>9</v>
      </c>
      <c r="D11" s="9">
        <v>26995</v>
      </c>
      <c r="F11" s="10">
        <v>89950</v>
      </c>
      <c r="G11" s="10">
        <v>68990</v>
      </c>
    </row>
    <row r="12" spans="1:7" x14ac:dyDescent="0.4">
      <c r="A12" s="8" t="s">
        <v>7</v>
      </c>
      <c r="B12" s="10">
        <v>43599</v>
      </c>
      <c r="C12" s="8" t="s">
        <v>9</v>
      </c>
      <c r="D12" s="10">
        <v>33970</v>
      </c>
      <c r="F12" s="9">
        <v>26495</v>
      </c>
      <c r="G12" s="9">
        <v>26995</v>
      </c>
    </row>
    <row r="13" spans="1:7" x14ac:dyDescent="0.4">
      <c r="A13" s="7" t="s">
        <v>7</v>
      </c>
      <c r="B13" s="9">
        <v>34500</v>
      </c>
      <c r="C13" s="7" t="s">
        <v>9</v>
      </c>
      <c r="D13" s="9">
        <v>44490</v>
      </c>
      <c r="F13" s="10">
        <v>43599</v>
      </c>
      <c r="G13" s="10">
        <v>33970</v>
      </c>
    </row>
    <row r="14" spans="1:7" x14ac:dyDescent="0.4">
      <c r="A14" s="8" t="s">
        <v>7</v>
      </c>
      <c r="B14" s="10">
        <v>27892</v>
      </c>
      <c r="C14" s="8" t="s">
        <v>9</v>
      </c>
      <c r="D14" s="10">
        <v>76250</v>
      </c>
      <c r="F14" s="9">
        <v>34500</v>
      </c>
      <c r="G14" s="9">
        <v>44490</v>
      </c>
    </row>
    <row r="15" spans="1:7" x14ac:dyDescent="0.4">
      <c r="A15" s="7" t="s">
        <v>7</v>
      </c>
      <c r="B15" s="9">
        <v>22250</v>
      </c>
      <c r="C15" s="7" t="s">
        <v>9</v>
      </c>
      <c r="D15" s="9">
        <v>66499</v>
      </c>
      <c r="F15" s="10">
        <v>27892</v>
      </c>
      <c r="G15" s="10">
        <v>76250</v>
      </c>
    </row>
    <row r="16" spans="1:7" x14ac:dyDescent="0.4">
      <c r="A16" s="8" t="s">
        <v>7</v>
      </c>
      <c r="B16" s="10">
        <v>29990</v>
      </c>
      <c r="C16" s="8" t="s">
        <v>9</v>
      </c>
      <c r="D16" s="10">
        <v>73480</v>
      </c>
      <c r="F16" s="9">
        <v>22250</v>
      </c>
      <c r="G16" s="9">
        <v>66499</v>
      </c>
    </row>
    <row r="17" spans="1:7" x14ac:dyDescent="0.4">
      <c r="A17" s="7" t="s">
        <v>7</v>
      </c>
      <c r="B17" s="9">
        <v>159950</v>
      </c>
      <c r="C17" s="7" t="s">
        <v>9</v>
      </c>
      <c r="D17" s="9">
        <v>28990</v>
      </c>
      <c r="F17" s="10">
        <v>29990</v>
      </c>
      <c r="G17" s="10">
        <v>73480</v>
      </c>
    </row>
    <row r="18" spans="1:7" x14ac:dyDescent="0.4">
      <c r="A18" s="8" t="s">
        <v>7</v>
      </c>
      <c r="B18" s="10">
        <v>28995</v>
      </c>
      <c r="C18" s="8" t="s">
        <v>9</v>
      </c>
      <c r="D18" s="10">
        <v>69950</v>
      </c>
      <c r="F18" s="9">
        <v>159950</v>
      </c>
      <c r="G18" s="9">
        <v>28990</v>
      </c>
    </row>
    <row r="19" spans="1:7" x14ac:dyDescent="0.4">
      <c r="A19" s="7" t="s">
        <v>7</v>
      </c>
      <c r="B19" s="9">
        <v>34995</v>
      </c>
      <c r="C19" s="7" t="s">
        <v>9</v>
      </c>
      <c r="D19" s="9">
        <v>43900</v>
      </c>
      <c r="F19" s="10">
        <v>28995</v>
      </c>
      <c r="G19" s="10">
        <v>69950</v>
      </c>
    </row>
    <row r="20" spans="1:7" x14ac:dyDescent="0.4">
      <c r="A20" s="8" t="s">
        <v>7</v>
      </c>
      <c r="B20" s="10">
        <v>27950</v>
      </c>
      <c r="C20" s="8" t="s">
        <v>9</v>
      </c>
      <c r="D20" s="10">
        <v>39995</v>
      </c>
      <c r="F20" s="9">
        <v>34995</v>
      </c>
      <c r="G20" s="9">
        <v>43900</v>
      </c>
    </row>
    <row r="21" spans="1:7" x14ac:dyDescent="0.4">
      <c r="A21" s="7" t="s">
        <v>7</v>
      </c>
      <c r="B21" s="9">
        <v>27995</v>
      </c>
      <c r="C21" s="7" t="s">
        <v>9</v>
      </c>
      <c r="D21" s="9">
        <v>29975</v>
      </c>
      <c r="F21" s="10">
        <v>27950</v>
      </c>
      <c r="G21" s="10">
        <v>39995</v>
      </c>
    </row>
    <row r="22" spans="1:7" x14ac:dyDescent="0.4">
      <c r="A22" s="8" t="s">
        <v>7</v>
      </c>
      <c r="B22" s="10">
        <v>29995</v>
      </c>
      <c r="C22" s="8" t="s">
        <v>9</v>
      </c>
      <c r="D22" s="10">
        <v>59900</v>
      </c>
      <c r="F22" s="9">
        <v>27995</v>
      </c>
      <c r="G22" s="9">
        <v>29975</v>
      </c>
    </row>
    <row r="23" spans="1:7" x14ac:dyDescent="0.4">
      <c r="A23" s="7" t="s">
        <v>7</v>
      </c>
      <c r="B23" s="9">
        <v>29999</v>
      </c>
      <c r="C23" s="7" t="s">
        <v>9</v>
      </c>
      <c r="D23" s="9">
        <v>47990</v>
      </c>
      <c r="F23" s="10">
        <v>29995</v>
      </c>
      <c r="G23" s="10">
        <v>59900</v>
      </c>
    </row>
    <row r="24" spans="1:7" x14ac:dyDescent="0.4">
      <c r="A24" s="8" t="s">
        <v>7</v>
      </c>
      <c r="B24" s="10">
        <v>129995</v>
      </c>
      <c r="C24" s="8" t="s">
        <v>9</v>
      </c>
      <c r="D24" s="10">
        <v>39995</v>
      </c>
      <c r="F24" s="9">
        <v>29999</v>
      </c>
      <c r="G24" s="9">
        <v>47990</v>
      </c>
    </row>
    <row r="25" spans="1:7" x14ac:dyDescent="0.4">
      <c r="A25" s="7" t="s">
        <v>7</v>
      </c>
      <c r="B25" s="9">
        <v>79995</v>
      </c>
      <c r="C25" s="7" t="s">
        <v>9</v>
      </c>
      <c r="D25" s="9">
        <v>74900</v>
      </c>
      <c r="F25" s="10">
        <v>129995</v>
      </c>
      <c r="G25" s="10">
        <v>39995</v>
      </c>
    </row>
    <row r="26" spans="1:7" x14ac:dyDescent="0.4">
      <c r="A26" s="8" t="s">
        <v>7</v>
      </c>
      <c r="B26" s="10">
        <v>66995</v>
      </c>
      <c r="C26" s="8" t="s">
        <v>9</v>
      </c>
      <c r="D26" s="10">
        <v>76950</v>
      </c>
      <c r="F26" s="9">
        <v>79995</v>
      </c>
      <c r="G26" s="9">
        <v>74900</v>
      </c>
    </row>
    <row r="27" spans="1:7" x14ac:dyDescent="0.4">
      <c r="A27" s="7" t="s">
        <v>7</v>
      </c>
      <c r="B27" s="9">
        <v>47900</v>
      </c>
      <c r="C27" s="7" t="s">
        <v>9</v>
      </c>
      <c r="D27" s="9">
        <v>26950</v>
      </c>
      <c r="F27" s="10">
        <v>66995</v>
      </c>
      <c r="G27" s="10">
        <v>76950</v>
      </c>
    </row>
    <row r="28" spans="1:7" x14ac:dyDescent="0.4">
      <c r="A28" s="8" t="s">
        <v>7</v>
      </c>
      <c r="B28" s="10">
        <v>29995</v>
      </c>
      <c r="C28" s="8" t="s">
        <v>9</v>
      </c>
      <c r="D28" s="10">
        <v>81000</v>
      </c>
      <c r="F28" s="9">
        <v>47900</v>
      </c>
      <c r="G28" s="9">
        <v>26950</v>
      </c>
    </row>
    <row r="29" spans="1:7" x14ac:dyDescent="0.4">
      <c r="A29" s="7" t="s">
        <v>7</v>
      </c>
      <c r="B29" s="9">
        <v>95990</v>
      </c>
      <c r="C29" s="7" t="s">
        <v>9</v>
      </c>
      <c r="D29" s="9">
        <v>96900</v>
      </c>
      <c r="F29" s="10">
        <v>29995</v>
      </c>
      <c r="G29" s="10">
        <v>81000</v>
      </c>
    </row>
    <row r="30" spans="1:7" x14ac:dyDescent="0.4">
      <c r="A30" s="8" t="s">
        <v>7</v>
      </c>
      <c r="B30" s="10">
        <v>60000</v>
      </c>
      <c r="C30" s="8" t="s">
        <v>9</v>
      </c>
      <c r="D30" s="10">
        <v>75480</v>
      </c>
      <c r="F30" s="9">
        <v>95990</v>
      </c>
      <c r="G30" s="9">
        <v>96900</v>
      </c>
    </row>
    <row r="31" spans="1:7" x14ac:dyDescent="0.4">
      <c r="A31" s="7" t="s">
        <v>7</v>
      </c>
      <c r="B31" s="9">
        <v>27000</v>
      </c>
      <c r="C31" s="7" t="s">
        <v>9</v>
      </c>
      <c r="D31" s="9">
        <v>77950</v>
      </c>
      <c r="F31" s="10">
        <v>60000</v>
      </c>
      <c r="G31" s="10">
        <v>75480</v>
      </c>
    </row>
    <row r="32" spans="1:7" x14ac:dyDescent="0.4">
      <c r="A32" s="8" t="s">
        <v>7</v>
      </c>
      <c r="B32" s="10">
        <v>159950</v>
      </c>
      <c r="C32" s="8" t="s">
        <v>9</v>
      </c>
      <c r="D32" s="10">
        <v>149950</v>
      </c>
      <c r="F32" s="9">
        <v>27000</v>
      </c>
      <c r="G32" s="9">
        <v>77950</v>
      </c>
    </row>
    <row r="33" spans="3:7" x14ac:dyDescent="0.4">
      <c r="C33" s="7" t="s">
        <v>9</v>
      </c>
      <c r="D33" s="9">
        <v>31980</v>
      </c>
      <c r="F33" s="10">
        <v>159950</v>
      </c>
      <c r="G33" s="10">
        <v>149950</v>
      </c>
    </row>
    <row r="34" spans="3:7" x14ac:dyDescent="0.4">
      <c r="C34" s="8" t="s">
        <v>9</v>
      </c>
      <c r="D34" s="10">
        <v>39988</v>
      </c>
      <c r="G34" s="9">
        <v>31980</v>
      </c>
    </row>
    <row r="35" spans="3:7" x14ac:dyDescent="0.4">
      <c r="C35" s="7" t="s">
        <v>9</v>
      </c>
      <c r="D35" s="9">
        <v>47950</v>
      </c>
      <c r="G35" s="10">
        <v>39988</v>
      </c>
    </row>
    <row r="36" spans="3:7" x14ac:dyDescent="0.4">
      <c r="C36" s="8" t="s">
        <v>9</v>
      </c>
      <c r="D36" s="10">
        <v>49000</v>
      </c>
      <c r="G36" s="9">
        <v>47950</v>
      </c>
    </row>
    <row r="37" spans="3:7" x14ac:dyDescent="0.4">
      <c r="C37" s="7" t="s">
        <v>9</v>
      </c>
      <c r="D37" s="9">
        <v>109995</v>
      </c>
      <c r="G37" s="10">
        <v>49000</v>
      </c>
    </row>
    <row r="38" spans="3:7" x14ac:dyDescent="0.4">
      <c r="C38" s="8" t="s">
        <v>9</v>
      </c>
      <c r="D38" s="10">
        <v>88480</v>
      </c>
      <c r="G38" s="9">
        <v>109995</v>
      </c>
    </row>
    <row r="39" spans="3:7" x14ac:dyDescent="0.4">
      <c r="C39" s="7" t="s">
        <v>9</v>
      </c>
      <c r="D39" s="9">
        <v>71888</v>
      </c>
      <c r="G39" s="10">
        <v>88480</v>
      </c>
    </row>
    <row r="40" spans="3:7" x14ac:dyDescent="0.4">
      <c r="C40" s="8" t="s">
        <v>9</v>
      </c>
      <c r="D40" s="10">
        <v>152950</v>
      </c>
      <c r="G40" s="9">
        <v>71888</v>
      </c>
    </row>
    <row r="41" spans="3:7" x14ac:dyDescent="0.4">
      <c r="C41" s="7" t="s">
        <v>9</v>
      </c>
      <c r="D41" s="9">
        <v>39000</v>
      </c>
      <c r="G41" s="10">
        <v>152950</v>
      </c>
    </row>
    <row r="42" spans="3:7" x14ac:dyDescent="0.4">
      <c r="C42" s="8" t="s">
        <v>9</v>
      </c>
      <c r="D42" s="10">
        <v>19995</v>
      </c>
      <c r="G42" s="9">
        <v>39000</v>
      </c>
    </row>
    <row r="43" spans="3:7" x14ac:dyDescent="0.4">
      <c r="C43" s="7" t="s">
        <v>9</v>
      </c>
      <c r="D43" s="9">
        <v>77500</v>
      </c>
      <c r="G43" s="10">
        <v>19995</v>
      </c>
    </row>
    <row r="44" spans="3:7" x14ac:dyDescent="0.4">
      <c r="C44" s="8" t="s">
        <v>9</v>
      </c>
      <c r="D44" s="10">
        <v>109950</v>
      </c>
      <c r="G44" s="9">
        <v>77500</v>
      </c>
    </row>
    <row r="45" spans="3:7" x14ac:dyDescent="0.4">
      <c r="C45" s="7" t="s">
        <v>9</v>
      </c>
      <c r="D45" s="9">
        <v>78795</v>
      </c>
      <c r="G45" s="10">
        <v>109950</v>
      </c>
    </row>
    <row r="46" spans="3:7" x14ac:dyDescent="0.4">
      <c r="C46" s="8" t="s">
        <v>9</v>
      </c>
      <c r="D46" s="10">
        <v>51990</v>
      </c>
      <c r="G46" s="9">
        <v>78795</v>
      </c>
    </row>
    <row r="47" spans="3:7" x14ac:dyDescent="0.4">
      <c r="C47" s="7" t="s">
        <v>9</v>
      </c>
      <c r="D47" s="9">
        <v>89950</v>
      </c>
      <c r="G47" s="10">
        <v>51990</v>
      </c>
    </row>
    <row r="48" spans="3:7" x14ac:dyDescent="0.4">
      <c r="C48" s="8" t="s">
        <v>9</v>
      </c>
      <c r="D48" s="10">
        <v>24500</v>
      </c>
      <c r="G48" s="9">
        <v>89950</v>
      </c>
    </row>
    <row r="49" spans="3:7" x14ac:dyDescent="0.4">
      <c r="C49" s="7" t="s">
        <v>9</v>
      </c>
      <c r="D49" s="9">
        <v>40000</v>
      </c>
      <c r="G49" s="10">
        <v>24500</v>
      </c>
    </row>
    <row r="50" spans="3:7" x14ac:dyDescent="0.4">
      <c r="C50" s="8" t="s">
        <v>9</v>
      </c>
      <c r="D50" s="10">
        <v>71750</v>
      </c>
      <c r="G50" s="9">
        <v>40000</v>
      </c>
    </row>
    <row r="51" spans="3:7" x14ac:dyDescent="0.4">
      <c r="C51" s="7" t="s">
        <v>9</v>
      </c>
      <c r="D51" s="9">
        <v>89950</v>
      </c>
      <c r="G51" s="10">
        <v>71750</v>
      </c>
    </row>
    <row r="52" spans="3:7" x14ac:dyDescent="0.4">
      <c r="C52" s="8" t="s">
        <v>9</v>
      </c>
      <c r="D52" s="10">
        <v>84990</v>
      </c>
      <c r="G52" s="9">
        <v>89950</v>
      </c>
    </row>
    <row r="53" spans="3:7" x14ac:dyDescent="0.4">
      <c r="C53" s="7" t="s">
        <v>9</v>
      </c>
      <c r="D53" s="9">
        <v>175000</v>
      </c>
      <c r="G53" s="10">
        <v>84990</v>
      </c>
    </row>
    <row r="54" spans="3:7" x14ac:dyDescent="0.4">
      <c r="C54" s="8" t="s">
        <v>9</v>
      </c>
      <c r="D54" s="10">
        <v>29500</v>
      </c>
      <c r="G54" s="9">
        <v>175000</v>
      </c>
    </row>
    <row r="55" spans="3:7" x14ac:dyDescent="0.4">
      <c r="C55" s="7" t="s">
        <v>9</v>
      </c>
      <c r="D55" s="9">
        <v>168999</v>
      </c>
      <c r="G55" s="10">
        <v>29500</v>
      </c>
    </row>
    <row r="56" spans="3:7" x14ac:dyDescent="0.4">
      <c r="C56" s="8" t="s">
        <v>9</v>
      </c>
      <c r="D56" s="10">
        <v>34995</v>
      </c>
      <c r="G56" s="9">
        <v>168999</v>
      </c>
    </row>
    <row r="57" spans="3:7" x14ac:dyDescent="0.4">
      <c r="C57" s="7" t="s">
        <v>9</v>
      </c>
      <c r="D57" s="9">
        <v>89990</v>
      </c>
      <c r="G57" s="10">
        <v>34995</v>
      </c>
    </row>
    <row r="58" spans="3:7" x14ac:dyDescent="0.4">
      <c r="C58" s="8" t="s">
        <v>9</v>
      </c>
      <c r="D58" s="10">
        <v>42950</v>
      </c>
      <c r="G58" s="9">
        <v>89990</v>
      </c>
    </row>
    <row r="59" spans="3:7" x14ac:dyDescent="0.4">
      <c r="C59" s="7" t="s">
        <v>9</v>
      </c>
      <c r="D59" s="9">
        <v>217950</v>
      </c>
      <c r="G59" s="10">
        <v>42950</v>
      </c>
    </row>
    <row r="60" spans="3:7" x14ac:dyDescent="0.4">
      <c r="C60" s="8" t="s">
        <v>9</v>
      </c>
      <c r="D60" s="10">
        <v>169995</v>
      </c>
      <c r="G60" s="9">
        <v>217950</v>
      </c>
    </row>
    <row r="61" spans="3:7" x14ac:dyDescent="0.4">
      <c r="C61" s="7" t="s">
        <v>9</v>
      </c>
      <c r="D61" s="9">
        <v>284950</v>
      </c>
      <c r="G61" s="10">
        <v>169995</v>
      </c>
    </row>
    <row r="62" spans="3:7" x14ac:dyDescent="0.4">
      <c r="C62" s="8" t="s">
        <v>9</v>
      </c>
      <c r="D62" s="10">
        <v>109990</v>
      </c>
      <c r="G62" s="9">
        <v>284950</v>
      </c>
    </row>
    <row r="63" spans="3:7" x14ac:dyDescent="0.4">
      <c r="C63" s="7" t="s">
        <v>9</v>
      </c>
      <c r="D63" s="9">
        <v>114995</v>
      </c>
      <c r="G63" s="10">
        <v>109990</v>
      </c>
    </row>
    <row r="64" spans="3:7" x14ac:dyDescent="0.4">
      <c r="C64" s="8" t="s">
        <v>9</v>
      </c>
      <c r="D64" s="10">
        <v>39950</v>
      </c>
      <c r="G64" s="9">
        <v>114995</v>
      </c>
    </row>
    <row r="65" spans="3:7" x14ac:dyDescent="0.4">
      <c r="C65" s="7" t="s">
        <v>9</v>
      </c>
      <c r="D65" s="9">
        <v>36500</v>
      </c>
      <c r="G65" s="10">
        <v>39950</v>
      </c>
    </row>
    <row r="66" spans="3:7" x14ac:dyDescent="0.4">
      <c r="C66" s="8" t="s">
        <v>9</v>
      </c>
      <c r="D66" s="10">
        <v>198995</v>
      </c>
      <c r="G66" s="9">
        <v>36500</v>
      </c>
    </row>
    <row r="67" spans="3:7" x14ac:dyDescent="0.4">
      <c r="C67" s="7" t="s">
        <v>9</v>
      </c>
      <c r="D67" s="9">
        <v>126990</v>
      </c>
      <c r="G67" s="10">
        <v>198995</v>
      </c>
    </row>
    <row r="68" spans="3:7" x14ac:dyDescent="0.4">
      <c r="C68" s="8" t="s">
        <v>9</v>
      </c>
      <c r="D68" s="10">
        <v>109900</v>
      </c>
      <c r="G68" s="9">
        <v>126990</v>
      </c>
    </row>
    <row r="69" spans="3:7" x14ac:dyDescent="0.4">
      <c r="G69" s="10">
        <v>109900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6FE9-B0BB-49E8-99B9-EAAA907316CF}">
  <dimension ref="A1:Q337"/>
  <sheetViews>
    <sheetView tabSelected="1" zoomScale="104" zoomScaleNormal="85" workbookViewId="0">
      <selection activeCell="G94" sqref="G94"/>
    </sheetView>
  </sheetViews>
  <sheetFormatPr defaultRowHeight="14.6" x14ac:dyDescent="0.4"/>
  <cols>
    <col min="2" max="2" width="16.61328125" bestFit="1" customWidth="1"/>
    <col min="3" max="3" width="9.69140625" bestFit="1" customWidth="1"/>
    <col min="4" max="4" width="13.07421875" bestFit="1" customWidth="1"/>
    <col min="5" max="5" width="26.61328125" customWidth="1"/>
    <col min="6" max="6" width="16.61328125" bestFit="1" customWidth="1"/>
    <col min="7" max="7" width="11" customWidth="1"/>
    <col min="8" max="8" width="12.84375" customWidth="1"/>
    <col min="9" max="9" width="12.4609375" customWidth="1"/>
    <col min="10" max="10" width="19.23046875" customWidth="1"/>
    <col min="11" max="11" width="9.84375" customWidth="1"/>
  </cols>
  <sheetData>
    <row r="1" spans="1:17" x14ac:dyDescent="0.4">
      <c r="A1" s="28" t="s">
        <v>97</v>
      </c>
      <c r="B1" s="29"/>
      <c r="C1" s="29"/>
      <c r="D1" s="29"/>
      <c r="E1" s="29"/>
      <c r="F1" s="29"/>
      <c r="G1" s="29"/>
      <c r="H1" s="29"/>
    </row>
    <row r="3" spans="1:17" x14ac:dyDescent="0.4">
      <c r="A3" s="1"/>
      <c r="B3" s="1" t="s">
        <v>0</v>
      </c>
      <c r="C3" s="1" t="s">
        <v>3</v>
      </c>
      <c r="D3" s="3" t="s">
        <v>4</v>
      </c>
      <c r="E3" s="1" t="s">
        <v>1</v>
      </c>
      <c r="F3" s="1" t="s">
        <v>5</v>
      </c>
      <c r="G3" s="1" t="s">
        <v>2</v>
      </c>
      <c r="H3" s="1" t="s">
        <v>6</v>
      </c>
      <c r="I3" s="1"/>
      <c r="J3" s="1"/>
      <c r="K3" s="1"/>
      <c r="L3" s="1"/>
      <c r="M3" s="1"/>
      <c r="N3" s="1"/>
      <c r="O3" s="1"/>
      <c r="P3" s="1"/>
      <c r="Q3" s="1"/>
    </row>
    <row r="4" spans="1:17" x14ac:dyDescent="0.4">
      <c r="A4">
        <v>1</v>
      </c>
      <c r="B4">
        <v>1</v>
      </c>
      <c r="C4" s="2">
        <v>69500</v>
      </c>
      <c r="D4">
        <v>2006</v>
      </c>
      <c r="E4" t="s">
        <v>10</v>
      </c>
      <c r="F4" t="s">
        <v>7</v>
      </c>
      <c r="G4" s="4">
        <v>23995</v>
      </c>
      <c r="H4" t="s">
        <v>8</v>
      </c>
    </row>
    <row r="5" spans="1:17" x14ac:dyDescent="0.4">
      <c r="A5">
        <v>2</v>
      </c>
      <c r="B5">
        <v>2</v>
      </c>
      <c r="C5" s="2">
        <v>6500</v>
      </c>
      <c r="D5">
        <v>2018</v>
      </c>
      <c r="E5" t="s">
        <v>11</v>
      </c>
      <c r="F5" t="s">
        <v>9</v>
      </c>
      <c r="G5" s="4">
        <v>69500</v>
      </c>
      <c r="H5" t="s">
        <v>8</v>
      </c>
    </row>
    <row r="6" spans="1:17" x14ac:dyDescent="0.4">
      <c r="A6">
        <v>3</v>
      </c>
      <c r="B6">
        <v>3</v>
      </c>
      <c r="C6" s="2">
        <v>51816</v>
      </c>
      <c r="D6">
        <v>2006</v>
      </c>
      <c r="E6" t="s">
        <v>13</v>
      </c>
      <c r="F6" t="s">
        <v>7</v>
      </c>
      <c r="G6" s="4">
        <v>24995</v>
      </c>
      <c r="H6" t="s">
        <v>12</v>
      </c>
    </row>
    <row r="7" spans="1:17" x14ac:dyDescent="0.4">
      <c r="A7">
        <v>4</v>
      </c>
      <c r="B7">
        <v>4</v>
      </c>
      <c r="C7" s="2">
        <v>34467</v>
      </c>
      <c r="D7">
        <v>2006</v>
      </c>
      <c r="E7" t="s">
        <v>15</v>
      </c>
      <c r="F7" t="s">
        <v>7</v>
      </c>
      <c r="G7" s="4">
        <v>29979</v>
      </c>
      <c r="H7" t="s">
        <v>14</v>
      </c>
    </row>
    <row r="8" spans="1:17" x14ac:dyDescent="0.4">
      <c r="A8">
        <v>5</v>
      </c>
      <c r="B8" s="2">
        <v>5</v>
      </c>
      <c r="C8" s="2">
        <v>1600</v>
      </c>
      <c r="D8">
        <v>2024</v>
      </c>
      <c r="E8" t="s">
        <v>18</v>
      </c>
      <c r="F8" t="s">
        <v>9</v>
      </c>
      <c r="G8" s="4">
        <v>113995</v>
      </c>
      <c r="H8" t="s">
        <v>19</v>
      </c>
    </row>
    <row r="9" spans="1:17" x14ac:dyDescent="0.4">
      <c r="A9">
        <v>6</v>
      </c>
      <c r="B9">
        <v>6</v>
      </c>
      <c r="C9" s="2">
        <v>18150</v>
      </c>
      <c r="D9">
        <v>2019</v>
      </c>
      <c r="E9" t="s">
        <v>16</v>
      </c>
      <c r="F9" t="s">
        <v>9</v>
      </c>
      <c r="G9" s="4">
        <v>76995</v>
      </c>
      <c r="H9" t="s">
        <v>17</v>
      </c>
    </row>
    <row r="10" spans="1:17" x14ac:dyDescent="0.4">
      <c r="A10">
        <v>7</v>
      </c>
      <c r="B10">
        <v>7</v>
      </c>
      <c r="C10" s="2">
        <v>37548</v>
      </c>
      <c r="D10">
        <v>2006</v>
      </c>
      <c r="E10" t="s">
        <v>34</v>
      </c>
      <c r="F10" t="s">
        <v>7</v>
      </c>
      <c r="G10" s="4">
        <v>29999</v>
      </c>
      <c r="H10" t="s">
        <v>8</v>
      </c>
    </row>
    <row r="11" spans="1:17" x14ac:dyDescent="0.4">
      <c r="A11">
        <v>8</v>
      </c>
      <c r="B11" s="2">
        <v>8</v>
      </c>
      <c r="C11" s="2">
        <v>43000</v>
      </c>
      <c r="D11">
        <v>2015</v>
      </c>
      <c r="E11" t="s">
        <v>21</v>
      </c>
      <c r="F11" t="s">
        <v>9</v>
      </c>
      <c r="G11" s="4">
        <v>39950</v>
      </c>
      <c r="H11" t="s">
        <v>8</v>
      </c>
    </row>
    <row r="12" spans="1:17" x14ac:dyDescent="0.4">
      <c r="A12">
        <v>9</v>
      </c>
      <c r="B12" s="2">
        <v>9</v>
      </c>
      <c r="C12" s="2">
        <v>73028</v>
      </c>
      <c r="D12">
        <v>2006</v>
      </c>
      <c r="E12" t="s">
        <v>20</v>
      </c>
      <c r="F12" t="s">
        <v>7</v>
      </c>
      <c r="G12" s="4">
        <v>19995</v>
      </c>
      <c r="H12" t="s">
        <v>14</v>
      </c>
    </row>
    <row r="13" spans="1:17" x14ac:dyDescent="0.4">
      <c r="A13">
        <v>10</v>
      </c>
      <c r="B13" s="2">
        <v>10</v>
      </c>
      <c r="C13" s="2">
        <v>16752</v>
      </c>
      <c r="D13">
        <v>2017</v>
      </c>
      <c r="E13" t="s">
        <v>22</v>
      </c>
      <c r="F13" t="s">
        <v>7</v>
      </c>
      <c r="G13" s="4">
        <v>69990</v>
      </c>
      <c r="H13" t="s">
        <v>19</v>
      </c>
    </row>
    <row r="14" spans="1:17" x14ac:dyDescent="0.4">
      <c r="A14">
        <v>11</v>
      </c>
      <c r="B14">
        <v>11</v>
      </c>
      <c r="C14" s="2">
        <v>27828</v>
      </c>
      <c r="D14">
        <v>2019</v>
      </c>
      <c r="E14" t="s">
        <v>30</v>
      </c>
      <c r="F14" t="s">
        <v>9</v>
      </c>
      <c r="G14" s="4">
        <v>78995</v>
      </c>
      <c r="H14" t="s">
        <v>12</v>
      </c>
    </row>
    <row r="15" spans="1:17" x14ac:dyDescent="0.4">
      <c r="A15">
        <v>12</v>
      </c>
      <c r="B15">
        <v>13</v>
      </c>
      <c r="C15" s="2">
        <v>60686</v>
      </c>
      <c r="D15">
        <v>2009</v>
      </c>
      <c r="E15" t="s">
        <v>31</v>
      </c>
      <c r="F15" t="s">
        <v>9</v>
      </c>
      <c r="G15" s="4">
        <v>26995</v>
      </c>
      <c r="H15" t="s">
        <v>8</v>
      </c>
    </row>
    <row r="16" spans="1:17" x14ac:dyDescent="0.4">
      <c r="A16">
        <v>13</v>
      </c>
      <c r="B16">
        <v>15</v>
      </c>
      <c r="C16" s="2">
        <v>66500</v>
      </c>
      <c r="D16">
        <v>2006</v>
      </c>
      <c r="E16" t="s">
        <v>32</v>
      </c>
      <c r="F16" t="s">
        <v>7</v>
      </c>
      <c r="G16" s="4">
        <v>24950</v>
      </c>
      <c r="H16" t="s">
        <v>14</v>
      </c>
    </row>
    <row r="17" spans="1:8" x14ac:dyDescent="0.4">
      <c r="A17">
        <v>14</v>
      </c>
      <c r="B17">
        <v>18</v>
      </c>
      <c r="C17" s="2">
        <v>24457</v>
      </c>
      <c r="D17">
        <v>2010</v>
      </c>
      <c r="E17" t="s">
        <v>34</v>
      </c>
      <c r="F17" t="s">
        <v>9</v>
      </c>
      <c r="G17" s="4">
        <v>36995</v>
      </c>
      <c r="H17" t="s">
        <v>8</v>
      </c>
    </row>
    <row r="18" spans="1:8" x14ac:dyDescent="0.4">
      <c r="A18">
        <v>15</v>
      </c>
      <c r="B18">
        <v>20</v>
      </c>
      <c r="C18" s="2">
        <v>31261</v>
      </c>
      <c r="D18">
        <v>2011</v>
      </c>
      <c r="E18" t="s">
        <v>35</v>
      </c>
      <c r="F18" t="s">
        <v>9</v>
      </c>
      <c r="G18" s="4">
        <v>36940</v>
      </c>
      <c r="H18" t="s">
        <v>12</v>
      </c>
    </row>
    <row r="19" spans="1:8" x14ac:dyDescent="0.4">
      <c r="A19">
        <v>16</v>
      </c>
      <c r="B19">
        <v>21</v>
      </c>
      <c r="C19" s="2">
        <v>62500</v>
      </c>
      <c r="D19">
        <v>2013</v>
      </c>
      <c r="E19" t="s">
        <v>36</v>
      </c>
      <c r="F19" t="s">
        <v>7</v>
      </c>
      <c r="G19" s="4">
        <v>38500</v>
      </c>
      <c r="H19" t="s">
        <v>12</v>
      </c>
    </row>
    <row r="20" spans="1:8" x14ac:dyDescent="0.4">
      <c r="A20">
        <v>17</v>
      </c>
      <c r="B20" s="2">
        <v>22</v>
      </c>
      <c r="C20" s="2">
        <v>10700</v>
      </c>
      <c r="D20">
        <v>2018</v>
      </c>
      <c r="E20" t="s">
        <v>27</v>
      </c>
      <c r="F20" t="s">
        <v>9</v>
      </c>
      <c r="G20" s="4">
        <v>127995</v>
      </c>
      <c r="H20" t="s">
        <v>12</v>
      </c>
    </row>
    <row r="21" spans="1:8" x14ac:dyDescent="0.4">
      <c r="A21">
        <v>18</v>
      </c>
      <c r="B21">
        <v>24</v>
      </c>
      <c r="C21" s="2">
        <v>44256</v>
      </c>
      <c r="D21">
        <v>2019</v>
      </c>
      <c r="E21" t="s">
        <v>23</v>
      </c>
      <c r="F21" t="s">
        <v>9</v>
      </c>
      <c r="G21" s="4">
        <v>68990</v>
      </c>
      <c r="H21" t="s">
        <v>17</v>
      </c>
    </row>
    <row r="22" spans="1:8" x14ac:dyDescent="0.4">
      <c r="A22">
        <v>19</v>
      </c>
      <c r="B22">
        <v>25</v>
      </c>
      <c r="C22" s="2">
        <v>30317</v>
      </c>
      <c r="D22">
        <v>2015</v>
      </c>
      <c r="E22" t="s">
        <v>24</v>
      </c>
      <c r="F22" t="s">
        <v>7</v>
      </c>
      <c r="G22" s="4">
        <v>44900</v>
      </c>
      <c r="H22" t="s">
        <v>25</v>
      </c>
    </row>
    <row r="23" spans="1:8" x14ac:dyDescent="0.4">
      <c r="A23">
        <v>20</v>
      </c>
      <c r="B23">
        <v>26</v>
      </c>
      <c r="C23" s="2">
        <v>50000</v>
      </c>
      <c r="D23">
        <v>2007</v>
      </c>
      <c r="E23" t="s">
        <v>28</v>
      </c>
      <c r="F23" t="s">
        <v>9</v>
      </c>
      <c r="G23" s="4">
        <v>26995</v>
      </c>
      <c r="H23" t="s">
        <v>8</v>
      </c>
    </row>
    <row r="24" spans="1:8" x14ac:dyDescent="0.4">
      <c r="A24">
        <v>21</v>
      </c>
      <c r="B24">
        <v>27</v>
      </c>
      <c r="C24" s="2">
        <v>22724</v>
      </c>
      <c r="D24">
        <v>2010</v>
      </c>
      <c r="E24" t="s">
        <v>26</v>
      </c>
      <c r="F24" t="s">
        <v>9</v>
      </c>
      <c r="G24" s="4">
        <v>33970</v>
      </c>
      <c r="H24" t="s">
        <v>12</v>
      </c>
    </row>
    <row r="25" spans="1:8" x14ac:dyDescent="0.4">
      <c r="A25">
        <v>22</v>
      </c>
      <c r="B25">
        <v>28</v>
      </c>
      <c r="C25" s="2">
        <v>9207</v>
      </c>
      <c r="D25">
        <v>2020</v>
      </c>
      <c r="E25" t="s">
        <v>29</v>
      </c>
      <c r="F25" t="s">
        <v>7</v>
      </c>
      <c r="G25" s="4">
        <v>89950</v>
      </c>
      <c r="H25" t="s">
        <v>14</v>
      </c>
    </row>
    <row r="26" spans="1:8" x14ac:dyDescent="0.4">
      <c r="A26">
        <v>23</v>
      </c>
      <c r="B26" s="2">
        <v>29</v>
      </c>
      <c r="C26" s="2">
        <v>31383</v>
      </c>
      <c r="D26">
        <v>2015</v>
      </c>
      <c r="E26" t="s">
        <v>23</v>
      </c>
      <c r="F26" t="s">
        <v>9</v>
      </c>
      <c r="G26" s="4">
        <v>44490</v>
      </c>
      <c r="H26" t="s">
        <v>12</v>
      </c>
    </row>
    <row r="27" spans="1:8" x14ac:dyDescent="0.4">
      <c r="A27">
        <v>24</v>
      </c>
      <c r="B27" s="2">
        <v>30</v>
      </c>
      <c r="C27" s="2">
        <v>70000</v>
      </c>
      <c r="D27">
        <v>2010</v>
      </c>
      <c r="E27" t="s">
        <v>37</v>
      </c>
      <c r="F27" t="s">
        <v>7</v>
      </c>
      <c r="G27" s="4">
        <v>26495</v>
      </c>
      <c r="H27" t="s">
        <v>12</v>
      </c>
    </row>
    <row r="28" spans="1:8" x14ac:dyDescent="0.4">
      <c r="A28">
        <v>25</v>
      </c>
      <c r="B28">
        <v>31</v>
      </c>
      <c r="C28" s="2">
        <v>32600</v>
      </c>
      <c r="D28">
        <v>2020</v>
      </c>
      <c r="E28" t="s">
        <v>38</v>
      </c>
      <c r="F28" t="s">
        <v>9</v>
      </c>
      <c r="G28" s="4">
        <v>76250</v>
      </c>
      <c r="H28" t="s">
        <v>39</v>
      </c>
    </row>
    <row r="29" spans="1:8" x14ac:dyDescent="0.4">
      <c r="A29">
        <v>26</v>
      </c>
      <c r="B29">
        <v>33</v>
      </c>
      <c r="C29" s="2">
        <v>28960</v>
      </c>
      <c r="D29">
        <v>2018</v>
      </c>
      <c r="E29" t="s">
        <v>40</v>
      </c>
      <c r="F29" t="s">
        <v>9</v>
      </c>
      <c r="G29" s="4">
        <v>66499</v>
      </c>
      <c r="H29" t="s">
        <v>14</v>
      </c>
    </row>
    <row r="30" spans="1:8" x14ac:dyDescent="0.4">
      <c r="A30">
        <v>27</v>
      </c>
      <c r="B30">
        <v>34</v>
      </c>
      <c r="C30" s="2">
        <v>48000</v>
      </c>
      <c r="D30">
        <v>2021</v>
      </c>
      <c r="E30" t="s">
        <v>33</v>
      </c>
      <c r="F30" t="s">
        <v>9</v>
      </c>
      <c r="G30" s="4">
        <v>73480</v>
      </c>
      <c r="H30" t="s">
        <v>14</v>
      </c>
    </row>
    <row r="31" spans="1:8" x14ac:dyDescent="0.4">
      <c r="A31">
        <v>28</v>
      </c>
      <c r="B31" s="2">
        <v>35</v>
      </c>
      <c r="C31" s="2">
        <v>47000</v>
      </c>
      <c r="D31">
        <v>2007</v>
      </c>
      <c r="E31" t="s">
        <v>41</v>
      </c>
      <c r="F31" t="s">
        <v>9</v>
      </c>
      <c r="G31" s="4">
        <v>28990</v>
      </c>
      <c r="H31" t="s">
        <v>12</v>
      </c>
    </row>
    <row r="32" spans="1:8" x14ac:dyDescent="0.4">
      <c r="A32">
        <v>29</v>
      </c>
      <c r="B32">
        <v>36</v>
      </c>
      <c r="C32" s="2">
        <v>25000</v>
      </c>
      <c r="D32">
        <v>2019</v>
      </c>
      <c r="E32" t="s">
        <v>42</v>
      </c>
      <c r="F32" t="s">
        <v>9</v>
      </c>
      <c r="G32" s="4">
        <v>69950</v>
      </c>
      <c r="H32" t="s">
        <v>12</v>
      </c>
    </row>
    <row r="33" spans="1:8" x14ac:dyDescent="0.4">
      <c r="A33">
        <v>30</v>
      </c>
      <c r="B33">
        <v>37</v>
      </c>
      <c r="C33" s="2">
        <v>20746</v>
      </c>
      <c r="D33">
        <v>2015</v>
      </c>
      <c r="E33" t="s">
        <v>43</v>
      </c>
      <c r="F33" t="s">
        <v>7</v>
      </c>
      <c r="G33" s="4">
        <v>43599</v>
      </c>
      <c r="H33" t="s">
        <v>12</v>
      </c>
    </row>
    <row r="34" spans="1:8" x14ac:dyDescent="0.4">
      <c r="A34">
        <v>31</v>
      </c>
      <c r="B34">
        <v>38</v>
      </c>
      <c r="C34" s="2">
        <v>26992</v>
      </c>
      <c r="D34">
        <v>2014</v>
      </c>
      <c r="E34" t="s">
        <v>24</v>
      </c>
      <c r="F34" t="s">
        <v>9</v>
      </c>
      <c r="G34" s="4">
        <v>43900</v>
      </c>
      <c r="H34" t="s">
        <v>12</v>
      </c>
    </row>
    <row r="35" spans="1:8" x14ac:dyDescent="0.4">
      <c r="A35">
        <v>32</v>
      </c>
      <c r="B35">
        <v>39</v>
      </c>
      <c r="C35" s="2">
        <v>45800</v>
      </c>
      <c r="D35">
        <v>2006</v>
      </c>
      <c r="E35" t="s">
        <v>44</v>
      </c>
      <c r="F35" t="s">
        <v>7</v>
      </c>
      <c r="G35" s="4">
        <v>34500</v>
      </c>
      <c r="H35" t="s">
        <v>19</v>
      </c>
    </row>
    <row r="36" spans="1:8" x14ac:dyDescent="0.4">
      <c r="A36">
        <v>33</v>
      </c>
      <c r="B36">
        <v>40</v>
      </c>
      <c r="C36" s="2">
        <v>38081</v>
      </c>
      <c r="D36">
        <v>2012</v>
      </c>
      <c r="E36" t="s">
        <v>45</v>
      </c>
      <c r="F36" t="s">
        <v>9</v>
      </c>
      <c r="G36" s="4">
        <v>39995</v>
      </c>
      <c r="H36" t="s">
        <v>8</v>
      </c>
    </row>
    <row r="37" spans="1:8" x14ac:dyDescent="0.4">
      <c r="A37">
        <v>34</v>
      </c>
      <c r="B37">
        <v>41</v>
      </c>
      <c r="C37" s="2">
        <v>41100</v>
      </c>
      <c r="D37">
        <v>2009</v>
      </c>
      <c r="E37" t="s">
        <v>46</v>
      </c>
      <c r="F37" t="s">
        <v>9</v>
      </c>
      <c r="G37" s="4">
        <v>29975</v>
      </c>
      <c r="H37" t="s">
        <v>12</v>
      </c>
    </row>
    <row r="38" spans="1:8" x14ac:dyDescent="0.4">
      <c r="A38">
        <v>35</v>
      </c>
      <c r="B38">
        <v>42</v>
      </c>
      <c r="C38" s="2">
        <v>16250</v>
      </c>
      <c r="D38">
        <v>2015</v>
      </c>
      <c r="E38" t="s">
        <v>47</v>
      </c>
      <c r="F38" t="s">
        <v>9</v>
      </c>
      <c r="G38" s="4">
        <v>59900</v>
      </c>
      <c r="H38" t="s">
        <v>12</v>
      </c>
    </row>
    <row r="39" spans="1:8" x14ac:dyDescent="0.4">
      <c r="A39">
        <v>36</v>
      </c>
      <c r="B39">
        <v>44</v>
      </c>
      <c r="C39" s="2">
        <v>40400</v>
      </c>
      <c r="D39">
        <v>2017</v>
      </c>
      <c r="E39" t="s">
        <v>41</v>
      </c>
      <c r="F39" t="s">
        <v>9</v>
      </c>
      <c r="G39" s="4">
        <v>47990</v>
      </c>
      <c r="H39" t="s">
        <v>12</v>
      </c>
    </row>
    <row r="40" spans="1:8" x14ac:dyDescent="0.4">
      <c r="A40">
        <v>37</v>
      </c>
      <c r="B40">
        <v>47</v>
      </c>
      <c r="C40" s="2">
        <v>38081</v>
      </c>
      <c r="D40">
        <v>2012</v>
      </c>
      <c r="E40" t="s">
        <v>45</v>
      </c>
      <c r="F40" t="s">
        <v>9</v>
      </c>
      <c r="G40" s="4">
        <v>39995</v>
      </c>
      <c r="H40" t="s">
        <v>8</v>
      </c>
    </row>
    <row r="41" spans="1:8" x14ac:dyDescent="0.4">
      <c r="A41">
        <v>38</v>
      </c>
      <c r="B41">
        <v>49</v>
      </c>
      <c r="C41" s="2">
        <v>95445</v>
      </c>
      <c r="D41">
        <v>2014</v>
      </c>
      <c r="E41" t="s">
        <v>48</v>
      </c>
      <c r="F41" t="s">
        <v>7</v>
      </c>
      <c r="G41" s="4">
        <v>27892</v>
      </c>
      <c r="H41" t="s">
        <v>12</v>
      </c>
    </row>
    <row r="42" spans="1:8" x14ac:dyDescent="0.4">
      <c r="A42">
        <v>39</v>
      </c>
      <c r="B42">
        <v>50</v>
      </c>
      <c r="C42" s="2">
        <v>37200</v>
      </c>
      <c r="D42">
        <v>2019</v>
      </c>
      <c r="E42" t="s">
        <v>49</v>
      </c>
      <c r="F42" t="s">
        <v>9</v>
      </c>
      <c r="G42" s="4">
        <v>74900</v>
      </c>
      <c r="H42" t="s">
        <v>14</v>
      </c>
    </row>
    <row r="43" spans="1:8" x14ac:dyDescent="0.4">
      <c r="A43">
        <v>40</v>
      </c>
      <c r="B43">
        <v>51</v>
      </c>
      <c r="C43" s="2">
        <v>19000</v>
      </c>
      <c r="D43">
        <v>2019</v>
      </c>
      <c r="E43" t="s">
        <v>50</v>
      </c>
      <c r="F43" t="s">
        <v>9</v>
      </c>
      <c r="G43" s="4">
        <v>76950</v>
      </c>
      <c r="H43" t="s">
        <v>25</v>
      </c>
    </row>
    <row r="44" spans="1:8" x14ac:dyDescent="0.4">
      <c r="A44">
        <v>41</v>
      </c>
      <c r="B44">
        <v>52</v>
      </c>
      <c r="C44" s="2">
        <v>69000</v>
      </c>
      <c r="D44">
        <v>2008</v>
      </c>
      <c r="E44" t="s">
        <v>51</v>
      </c>
      <c r="F44" t="s">
        <v>9</v>
      </c>
      <c r="G44" s="4">
        <v>26950</v>
      </c>
      <c r="H44" t="s">
        <v>8</v>
      </c>
    </row>
    <row r="45" spans="1:8" x14ac:dyDescent="0.4">
      <c r="A45">
        <v>42</v>
      </c>
      <c r="B45">
        <v>56</v>
      </c>
      <c r="C45" s="2">
        <v>52500</v>
      </c>
      <c r="D45">
        <v>2005</v>
      </c>
      <c r="E45" t="s">
        <v>52</v>
      </c>
      <c r="F45" t="s">
        <v>7</v>
      </c>
      <c r="G45" s="4">
        <v>22250</v>
      </c>
      <c r="H45" t="s">
        <v>8</v>
      </c>
    </row>
    <row r="46" spans="1:8" x14ac:dyDescent="0.4">
      <c r="A46">
        <v>43</v>
      </c>
      <c r="B46">
        <v>58</v>
      </c>
      <c r="C46" s="2">
        <v>23101</v>
      </c>
      <c r="D46">
        <v>2022</v>
      </c>
      <c r="E46" t="s">
        <v>53</v>
      </c>
      <c r="F46" t="s">
        <v>9</v>
      </c>
      <c r="G46" s="4">
        <v>81000</v>
      </c>
      <c r="H46" t="s">
        <v>17</v>
      </c>
    </row>
    <row r="47" spans="1:8" x14ac:dyDescent="0.4">
      <c r="A47">
        <v>44</v>
      </c>
      <c r="B47" s="2">
        <v>59</v>
      </c>
      <c r="C47" s="2">
        <v>34901</v>
      </c>
      <c r="D47">
        <v>2007</v>
      </c>
      <c r="E47" t="s">
        <v>54</v>
      </c>
      <c r="F47" t="s">
        <v>7</v>
      </c>
      <c r="G47" s="4">
        <v>29990</v>
      </c>
      <c r="H47" t="s">
        <v>14</v>
      </c>
    </row>
    <row r="48" spans="1:8" x14ac:dyDescent="0.4">
      <c r="A48">
        <v>45</v>
      </c>
      <c r="B48">
        <v>61</v>
      </c>
      <c r="C48" s="2">
        <v>17000</v>
      </c>
      <c r="D48">
        <v>1996</v>
      </c>
      <c r="E48" t="s">
        <v>55</v>
      </c>
      <c r="F48" t="s">
        <v>7</v>
      </c>
      <c r="G48" s="4">
        <v>159950</v>
      </c>
      <c r="H48" t="s">
        <v>19</v>
      </c>
    </row>
    <row r="49" spans="1:8" x14ac:dyDescent="0.4">
      <c r="A49">
        <v>46</v>
      </c>
      <c r="B49">
        <v>62</v>
      </c>
      <c r="C49" s="2">
        <v>32008</v>
      </c>
      <c r="D49">
        <v>2006</v>
      </c>
      <c r="E49" t="s">
        <v>56</v>
      </c>
      <c r="F49" t="s">
        <v>7</v>
      </c>
      <c r="G49" s="4">
        <v>28995</v>
      </c>
      <c r="H49" t="s">
        <v>12</v>
      </c>
    </row>
    <row r="50" spans="1:8" x14ac:dyDescent="0.4">
      <c r="A50">
        <v>47</v>
      </c>
      <c r="B50">
        <v>63</v>
      </c>
      <c r="C50" s="2">
        <v>10500</v>
      </c>
      <c r="D50">
        <v>2022</v>
      </c>
      <c r="E50" t="s">
        <v>47</v>
      </c>
      <c r="F50" t="s">
        <v>9</v>
      </c>
      <c r="G50" s="4">
        <v>96900</v>
      </c>
      <c r="H50" t="s">
        <v>14</v>
      </c>
    </row>
    <row r="51" spans="1:8" x14ac:dyDescent="0.4">
      <c r="A51">
        <v>48</v>
      </c>
      <c r="B51">
        <v>64</v>
      </c>
      <c r="C51" s="2">
        <v>22000</v>
      </c>
      <c r="D51">
        <v>2019</v>
      </c>
      <c r="E51" t="s">
        <v>33</v>
      </c>
      <c r="F51" t="s">
        <v>9</v>
      </c>
      <c r="G51" s="4">
        <v>75480</v>
      </c>
      <c r="H51" t="s">
        <v>25</v>
      </c>
    </row>
    <row r="52" spans="1:8" x14ac:dyDescent="0.4">
      <c r="A52">
        <v>49</v>
      </c>
      <c r="B52">
        <v>65</v>
      </c>
      <c r="C52" s="2">
        <v>12554</v>
      </c>
      <c r="D52">
        <v>2020</v>
      </c>
      <c r="E52" t="s">
        <v>29</v>
      </c>
      <c r="F52" t="s">
        <v>9</v>
      </c>
      <c r="G52" s="4">
        <v>77950</v>
      </c>
      <c r="H52" t="s">
        <v>39</v>
      </c>
    </row>
    <row r="53" spans="1:8" x14ac:dyDescent="0.4">
      <c r="A53">
        <v>50</v>
      </c>
      <c r="B53">
        <v>66</v>
      </c>
      <c r="C53" s="2">
        <v>572</v>
      </c>
      <c r="D53">
        <v>2025</v>
      </c>
      <c r="E53" t="s">
        <v>57</v>
      </c>
      <c r="F53" t="s">
        <v>9</v>
      </c>
      <c r="G53" s="4">
        <v>149950</v>
      </c>
      <c r="H53" t="s">
        <v>25</v>
      </c>
    </row>
    <row r="54" spans="1:8" x14ac:dyDescent="0.4">
      <c r="A54">
        <v>51</v>
      </c>
      <c r="B54">
        <v>67</v>
      </c>
      <c r="C54" s="2">
        <v>36980</v>
      </c>
      <c r="D54">
        <v>2007</v>
      </c>
      <c r="E54" t="s">
        <v>58</v>
      </c>
      <c r="F54" t="s">
        <v>9</v>
      </c>
      <c r="G54" s="4">
        <v>31980</v>
      </c>
      <c r="H54" t="s">
        <v>17</v>
      </c>
    </row>
    <row r="55" spans="1:8" x14ac:dyDescent="0.4">
      <c r="A55">
        <v>52</v>
      </c>
      <c r="B55">
        <v>69</v>
      </c>
      <c r="C55" s="2">
        <v>18706</v>
      </c>
      <c r="D55">
        <v>2011</v>
      </c>
      <c r="E55" t="s">
        <v>59</v>
      </c>
      <c r="F55" t="s">
        <v>9</v>
      </c>
      <c r="G55" s="4">
        <v>39988</v>
      </c>
      <c r="H55" t="s">
        <v>39</v>
      </c>
    </row>
    <row r="56" spans="1:8" x14ac:dyDescent="0.4">
      <c r="A56">
        <v>53</v>
      </c>
      <c r="B56">
        <v>70</v>
      </c>
      <c r="C56" s="2">
        <v>49800</v>
      </c>
      <c r="D56">
        <v>2012</v>
      </c>
      <c r="E56" t="s">
        <v>60</v>
      </c>
      <c r="F56" t="s">
        <v>7</v>
      </c>
      <c r="G56" s="4">
        <v>34995</v>
      </c>
      <c r="H56" t="s">
        <v>39</v>
      </c>
    </row>
    <row r="57" spans="1:8" x14ac:dyDescent="0.4">
      <c r="A57">
        <v>54</v>
      </c>
      <c r="B57">
        <v>71</v>
      </c>
      <c r="C57" s="2">
        <v>16515</v>
      </c>
      <c r="D57">
        <v>2015</v>
      </c>
      <c r="E57" t="s">
        <v>29</v>
      </c>
      <c r="F57" t="s">
        <v>9</v>
      </c>
      <c r="G57" s="4">
        <v>47950</v>
      </c>
      <c r="H57" t="s">
        <v>12</v>
      </c>
    </row>
    <row r="58" spans="1:8" x14ac:dyDescent="0.4">
      <c r="A58">
        <v>55</v>
      </c>
      <c r="B58">
        <v>74</v>
      </c>
      <c r="C58" s="2">
        <v>22757</v>
      </c>
      <c r="D58">
        <v>2014</v>
      </c>
      <c r="E58" t="s">
        <v>61</v>
      </c>
      <c r="F58" t="s">
        <v>9</v>
      </c>
      <c r="G58" s="4">
        <v>49000</v>
      </c>
      <c r="H58" t="s">
        <v>8</v>
      </c>
    </row>
    <row r="59" spans="1:8" x14ac:dyDescent="0.4">
      <c r="A59">
        <v>56</v>
      </c>
      <c r="B59">
        <v>75</v>
      </c>
      <c r="C59" s="2">
        <v>79000</v>
      </c>
      <c r="D59">
        <v>2006</v>
      </c>
      <c r="E59" t="s">
        <v>62</v>
      </c>
      <c r="F59" t="s">
        <v>7</v>
      </c>
      <c r="G59" s="4">
        <v>27950</v>
      </c>
      <c r="H59" t="s">
        <v>12</v>
      </c>
    </row>
    <row r="60" spans="1:8" x14ac:dyDescent="0.4">
      <c r="A60">
        <v>57</v>
      </c>
      <c r="B60">
        <v>76</v>
      </c>
      <c r="C60" s="2">
        <v>6733</v>
      </c>
      <c r="D60">
        <v>2022</v>
      </c>
      <c r="E60" t="s">
        <v>63</v>
      </c>
      <c r="F60" t="s">
        <v>9</v>
      </c>
      <c r="G60" s="4">
        <v>109995</v>
      </c>
      <c r="H60" t="s">
        <v>19</v>
      </c>
    </row>
    <row r="61" spans="1:8" x14ac:dyDescent="0.4">
      <c r="A61">
        <v>58</v>
      </c>
      <c r="B61">
        <v>78</v>
      </c>
      <c r="C61" s="2">
        <v>51000</v>
      </c>
      <c r="D61">
        <v>2006</v>
      </c>
      <c r="E61" t="s">
        <v>64</v>
      </c>
      <c r="F61" t="s">
        <v>7</v>
      </c>
      <c r="G61" s="4">
        <v>27995</v>
      </c>
      <c r="H61" t="s">
        <v>25</v>
      </c>
    </row>
    <row r="62" spans="1:8" x14ac:dyDescent="0.4">
      <c r="A62">
        <v>59</v>
      </c>
      <c r="B62" s="2">
        <v>79</v>
      </c>
      <c r="C62" s="2">
        <v>36667</v>
      </c>
      <c r="D62">
        <v>2006</v>
      </c>
      <c r="E62" t="s">
        <v>65</v>
      </c>
      <c r="F62" t="s">
        <v>7</v>
      </c>
      <c r="G62" s="4">
        <v>29995</v>
      </c>
      <c r="H62" t="s">
        <v>8</v>
      </c>
    </row>
    <row r="63" spans="1:8" x14ac:dyDescent="0.4">
      <c r="A63">
        <v>60</v>
      </c>
      <c r="B63">
        <v>81</v>
      </c>
      <c r="C63" s="2">
        <v>7000</v>
      </c>
      <c r="D63">
        <v>2021</v>
      </c>
      <c r="E63" t="s">
        <v>33</v>
      </c>
      <c r="F63" t="s">
        <v>9</v>
      </c>
      <c r="G63" s="4">
        <v>88480</v>
      </c>
      <c r="H63" t="s">
        <v>12</v>
      </c>
    </row>
    <row r="64" spans="1:8" x14ac:dyDescent="0.4">
      <c r="A64">
        <v>61</v>
      </c>
      <c r="B64">
        <v>83</v>
      </c>
      <c r="C64" s="2">
        <v>48260</v>
      </c>
      <c r="D64">
        <v>2006</v>
      </c>
      <c r="E64" t="s">
        <v>66</v>
      </c>
      <c r="F64" t="s">
        <v>7</v>
      </c>
      <c r="G64" s="4">
        <v>29999</v>
      </c>
      <c r="H64" t="s">
        <v>8</v>
      </c>
    </row>
    <row r="65" spans="1:8" x14ac:dyDescent="0.4">
      <c r="A65">
        <v>62</v>
      </c>
      <c r="B65">
        <v>84</v>
      </c>
      <c r="C65" s="2">
        <v>17500</v>
      </c>
      <c r="D65">
        <v>2019</v>
      </c>
      <c r="E65" t="s">
        <v>67</v>
      </c>
      <c r="F65" t="s">
        <v>9</v>
      </c>
      <c r="G65" s="4">
        <v>71888</v>
      </c>
      <c r="H65" t="s">
        <v>14</v>
      </c>
    </row>
    <row r="66" spans="1:8" x14ac:dyDescent="0.4">
      <c r="A66">
        <v>63</v>
      </c>
      <c r="B66">
        <v>85</v>
      </c>
      <c r="C66" s="2">
        <v>9971</v>
      </c>
      <c r="D66">
        <v>2018</v>
      </c>
      <c r="E66" t="s">
        <v>68</v>
      </c>
      <c r="F66" t="s">
        <v>7</v>
      </c>
      <c r="G66" s="4">
        <v>129995</v>
      </c>
      <c r="H66" t="s">
        <v>12</v>
      </c>
    </row>
    <row r="67" spans="1:8" x14ac:dyDescent="0.4">
      <c r="A67">
        <v>64</v>
      </c>
      <c r="B67">
        <v>87</v>
      </c>
      <c r="C67" s="2">
        <v>1986</v>
      </c>
      <c r="D67">
        <v>2025</v>
      </c>
      <c r="E67" t="s">
        <v>50</v>
      </c>
      <c r="F67" t="s">
        <v>9</v>
      </c>
      <c r="G67" s="4">
        <v>152950</v>
      </c>
      <c r="H67" t="s">
        <v>8</v>
      </c>
    </row>
    <row r="68" spans="1:8" x14ac:dyDescent="0.4">
      <c r="A68">
        <v>65</v>
      </c>
      <c r="B68">
        <v>88</v>
      </c>
      <c r="C68" s="2">
        <v>15736</v>
      </c>
      <c r="D68">
        <v>2021</v>
      </c>
      <c r="E68" t="s">
        <v>69</v>
      </c>
      <c r="F68" t="s">
        <v>7</v>
      </c>
      <c r="G68" s="4">
        <v>79995</v>
      </c>
      <c r="H68" t="s">
        <v>8</v>
      </c>
    </row>
    <row r="69" spans="1:8" x14ac:dyDescent="0.4">
      <c r="A69">
        <v>66</v>
      </c>
      <c r="B69">
        <v>89</v>
      </c>
      <c r="C69" s="2">
        <v>28700</v>
      </c>
      <c r="D69">
        <v>2011</v>
      </c>
      <c r="E69" t="s">
        <v>70</v>
      </c>
      <c r="F69" t="s">
        <v>9</v>
      </c>
      <c r="G69" s="4">
        <v>39000</v>
      </c>
      <c r="H69" t="s">
        <v>8</v>
      </c>
    </row>
    <row r="70" spans="1:8" x14ac:dyDescent="0.4">
      <c r="A70">
        <v>67</v>
      </c>
      <c r="B70">
        <v>90</v>
      </c>
      <c r="C70" s="2">
        <v>69012</v>
      </c>
      <c r="D70">
        <v>2009</v>
      </c>
      <c r="E70" t="s">
        <v>71</v>
      </c>
      <c r="F70" t="s">
        <v>9</v>
      </c>
      <c r="G70" s="4">
        <v>19995</v>
      </c>
      <c r="H70" t="s">
        <v>8</v>
      </c>
    </row>
    <row r="71" spans="1:8" x14ac:dyDescent="0.4">
      <c r="A71">
        <v>68</v>
      </c>
      <c r="B71">
        <v>93</v>
      </c>
      <c r="C71" s="2">
        <v>14500</v>
      </c>
      <c r="D71">
        <v>2019</v>
      </c>
      <c r="E71" t="s">
        <v>72</v>
      </c>
      <c r="F71" t="s">
        <v>9</v>
      </c>
      <c r="G71" s="4">
        <v>77500</v>
      </c>
      <c r="H71" t="s">
        <v>39</v>
      </c>
    </row>
    <row r="72" spans="1:8" x14ac:dyDescent="0.4">
      <c r="A72">
        <v>69</v>
      </c>
      <c r="B72">
        <v>95</v>
      </c>
      <c r="C72" s="2">
        <v>19300</v>
      </c>
      <c r="D72">
        <v>2012</v>
      </c>
      <c r="E72" t="s">
        <v>63</v>
      </c>
      <c r="F72" t="s">
        <v>7</v>
      </c>
      <c r="G72" s="4">
        <v>66995</v>
      </c>
      <c r="H72" t="s">
        <v>12</v>
      </c>
    </row>
    <row r="73" spans="1:8" x14ac:dyDescent="0.4">
      <c r="A73">
        <v>70</v>
      </c>
      <c r="B73">
        <v>99</v>
      </c>
      <c r="C73" s="2">
        <v>6231</v>
      </c>
      <c r="D73">
        <v>2024</v>
      </c>
      <c r="E73" t="s">
        <v>73</v>
      </c>
      <c r="F73" t="s">
        <v>9</v>
      </c>
      <c r="G73" s="4">
        <v>109950</v>
      </c>
      <c r="H73" t="s">
        <v>19</v>
      </c>
    </row>
    <row r="74" spans="1:8" x14ac:dyDescent="0.4">
      <c r="A74">
        <v>71</v>
      </c>
      <c r="B74" s="2">
        <v>104</v>
      </c>
      <c r="C74" s="2">
        <v>19895</v>
      </c>
      <c r="D74">
        <v>2017</v>
      </c>
      <c r="E74" t="s">
        <v>24</v>
      </c>
      <c r="F74" t="s">
        <v>7</v>
      </c>
      <c r="G74" s="4">
        <v>47900</v>
      </c>
      <c r="H74" t="s">
        <v>39</v>
      </c>
    </row>
    <row r="75" spans="1:8" x14ac:dyDescent="0.4">
      <c r="A75">
        <v>72</v>
      </c>
      <c r="B75" s="2">
        <v>130</v>
      </c>
      <c r="C75" s="2">
        <v>15074</v>
      </c>
      <c r="D75">
        <v>2019</v>
      </c>
      <c r="E75" t="s">
        <v>15</v>
      </c>
      <c r="F75" t="s">
        <v>9</v>
      </c>
      <c r="G75" s="4">
        <v>78795</v>
      </c>
      <c r="H75" t="s">
        <v>17</v>
      </c>
    </row>
    <row r="76" spans="1:8" x14ac:dyDescent="0.4">
      <c r="A76">
        <v>73</v>
      </c>
      <c r="B76" s="2">
        <v>140</v>
      </c>
      <c r="C76" s="4">
        <v>22975</v>
      </c>
      <c r="D76">
        <v>2014</v>
      </c>
      <c r="E76" t="s">
        <v>74</v>
      </c>
      <c r="F76" t="s">
        <v>9</v>
      </c>
      <c r="G76" s="4">
        <v>51990</v>
      </c>
      <c r="H76" t="s">
        <v>39</v>
      </c>
    </row>
    <row r="77" spans="1:8" x14ac:dyDescent="0.4">
      <c r="A77">
        <v>74</v>
      </c>
      <c r="B77" s="2">
        <v>153</v>
      </c>
      <c r="C77" s="2">
        <v>18114</v>
      </c>
      <c r="D77">
        <v>2022</v>
      </c>
      <c r="E77" t="s">
        <v>69</v>
      </c>
      <c r="F77" t="s">
        <v>9</v>
      </c>
      <c r="G77" s="4">
        <v>89950</v>
      </c>
      <c r="H77" t="s">
        <v>17</v>
      </c>
    </row>
    <row r="78" spans="1:8" x14ac:dyDescent="0.4">
      <c r="A78">
        <v>75</v>
      </c>
      <c r="B78" s="2">
        <v>161</v>
      </c>
      <c r="C78" s="2">
        <v>63000</v>
      </c>
      <c r="D78">
        <v>2008</v>
      </c>
      <c r="E78" t="s">
        <v>75</v>
      </c>
      <c r="F78" t="s">
        <v>9</v>
      </c>
      <c r="G78" s="4">
        <v>24500</v>
      </c>
      <c r="H78" t="s">
        <v>17</v>
      </c>
    </row>
    <row r="79" spans="1:8" x14ac:dyDescent="0.4">
      <c r="A79">
        <v>76</v>
      </c>
      <c r="B79" s="2">
        <v>170</v>
      </c>
      <c r="C79" s="2">
        <v>25435</v>
      </c>
      <c r="D79">
        <v>2011</v>
      </c>
      <c r="E79" t="s">
        <v>20</v>
      </c>
      <c r="F79" t="s">
        <v>9</v>
      </c>
      <c r="G79" s="4">
        <v>40000</v>
      </c>
      <c r="H79" t="s">
        <v>14</v>
      </c>
    </row>
    <row r="80" spans="1:8" x14ac:dyDescent="0.4">
      <c r="A80">
        <v>77</v>
      </c>
      <c r="B80" s="2">
        <v>173</v>
      </c>
      <c r="C80" s="2">
        <v>9900</v>
      </c>
      <c r="D80">
        <v>2014</v>
      </c>
      <c r="E80" t="s">
        <v>76</v>
      </c>
      <c r="F80" t="s">
        <v>9</v>
      </c>
      <c r="G80" s="4">
        <v>71750</v>
      </c>
      <c r="H80" t="s">
        <v>39</v>
      </c>
    </row>
    <row r="81" spans="1:8" x14ac:dyDescent="0.4">
      <c r="A81">
        <v>78</v>
      </c>
      <c r="B81" s="2">
        <v>178</v>
      </c>
      <c r="C81" s="2">
        <v>18114</v>
      </c>
      <c r="D81">
        <v>2022</v>
      </c>
      <c r="E81" t="s">
        <v>69</v>
      </c>
      <c r="F81" t="s">
        <v>9</v>
      </c>
      <c r="G81" s="4">
        <v>89950</v>
      </c>
      <c r="H81" t="s">
        <v>17</v>
      </c>
    </row>
    <row r="82" spans="1:8" x14ac:dyDescent="0.4">
      <c r="A82">
        <v>79</v>
      </c>
      <c r="B82" s="2">
        <v>185</v>
      </c>
      <c r="C82" s="2">
        <v>52638</v>
      </c>
      <c r="D82">
        <v>2006</v>
      </c>
      <c r="E82" t="s">
        <v>77</v>
      </c>
      <c r="F82" t="s">
        <v>7</v>
      </c>
      <c r="G82" s="4">
        <v>29995</v>
      </c>
      <c r="H82" t="s">
        <v>12</v>
      </c>
    </row>
    <row r="83" spans="1:8" x14ac:dyDescent="0.4">
      <c r="A83">
        <v>80</v>
      </c>
      <c r="B83" s="2">
        <v>190</v>
      </c>
      <c r="C83" s="2">
        <v>6006</v>
      </c>
      <c r="D83">
        <v>2019</v>
      </c>
      <c r="E83" t="s">
        <v>78</v>
      </c>
      <c r="F83" t="s">
        <v>9</v>
      </c>
      <c r="G83" s="4">
        <v>84990</v>
      </c>
      <c r="H83" t="s">
        <v>8</v>
      </c>
    </row>
    <row r="84" spans="1:8" x14ac:dyDescent="0.4">
      <c r="A84">
        <v>81</v>
      </c>
      <c r="B84" s="2">
        <v>193</v>
      </c>
      <c r="C84" s="2">
        <v>1251</v>
      </c>
      <c r="D84">
        <v>2025</v>
      </c>
      <c r="E84" t="s">
        <v>79</v>
      </c>
      <c r="F84" t="s">
        <v>9</v>
      </c>
      <c r="G84" s="4">
        <v>175000</v>
      </c>
      <c r="H84" t="s">
        <v>19</v>
      </c>
    </row>
    <row r="85" spans="1:8" x14ac:dyDescent="0.4">
      <c r="A85">
        <v>82</v>
      </c>
      <c r="B85" s="2">
        <v>198</v>
      </c>
      <c r="C85" s="2">
        <v>26900</v>
      </c>
      <c r="D85">
        <v>2010</v>
      </c>
      <c r="E85" t="s">
        <v>80</v>
      </c>
      <c r="F85" t="s">
        <v>9</v>
      </c>
      <c r="G85" s="4">
        <v>29500</v>
      </c>
      <c r="H85" t="s">
        <v>8</v>
      </c>
    </row>
    <row r="86" spans="1:8" x14ac:dyDescent="0.4">
      <c r="A86">
        <v>83</v>
      </c>
      <c r="B86" s="2">
        <v>202</v>
      </c>
      <c r="C86" s="2">
        <v>8200</v>
      </c>
      <c r="D86">
        <v>2020</v>
      </c>
      <c r="E86" t="s">
        <v>74</v>
      </c>
      <c r="F86" t="s">
        <v>7</v>
      </c>
      <c r="G86" s="4">
        <v>95990</v>
      </c>
      <c r="H86" t="s">
        <v>17</v>
      </c>
    </row>
    <row r="87" spans="1:8" x14ac:dyDescent="0.4">
      <c r="A87">
        <v>84</v>
      </c>
      <c r="B87" s="2">
        <v>205</v>
      </c>
      <c r="C87" s="4">
        <v>3500</v>
      </c>
      <c r="D87">
        <v>2024</v>
      </c>
      <c r="E87" t="s">
        <v>81</v>
      </c>
      <c r="F87" t="s">
        <v>9</v>
      </c>
      <c r="G87" s="4">
        <v>168999</v>
      </c>
      <c r="H87" t="s">
        <v>12</v>
      </c>
    </row>
    <row r="88" spans="1:8" x14ac:dyDescent="0.4">
      <c r="A88">
        <v>85</v>
      </c>
      <c r="B88" s="2">
        <v>206</v>
      </c>
      <c r="C88" s="2">
        <v>35900</v>
      </c>
      <c r="D88">
        <v>2014</v>
      </c>
      <c r="E88" t="s">
        <v>82</v>
      </c>
      <c r="F88" t="s">
        <v>7</v>
      </c>
      <c r="G88" s="4">
        <v>60000</v>
      </c>
      <c r="H88" t="s">
        <v>8</v>
      </c>
    </row>
    <row r="89" spans="1:8" x14ac:dyDescent="0.4">
      <c r="A89">
        <v>86</v>
      </c>
      <c r="B89" s="2">
        <v>214</v>
      </c>
      <c r="C89" s="2">
        <v>30793</v>
      </c>
      <c r="D89">
        <v>2011</v>
      </c>
      <c r="E89" t="s">
        <v>83</v>
      </c>
      <c r="F89" t="s">
        <v>9</v>
      </c>
      <c r="G89" s="4">
        <v>34995</v>
      </c>
      <c r="H89" t="s">
        <v>14</v>
      </c>
    </row>
    <row r="90" spans="1:8" x14ac:dyDescent="0.4">
      <c r="A90">
        <v>87</v>
      </c>
      <c r="B90" s="2">
        <v>249</v>
      </c>
      <c r="C90" s="2">
        <v>15750</v>
      </c>
      <c r="D90">
        <v>2022</v>
      </c>
      <c r="E90" t="s">
        <v>78</v>
      </c>
      <c r="F90" t="s">
        <v>9</v>
      </c>
      <c r="G90" s="4">
        <v>89990</v>
      </c>
      <c r="H90" t="s">
        <v>39</v>
      </c>
    </row>
    <row r="91" spans="1:8" x14ac:dyDescent="0.4">
      <c r="A91">
        <v>88</v>
      </c>
      <c r="B91" s="2">
        <v>265</v>
      </c>
      <c r="C91" s="2">
        <v>38704</v>
      </c>
      <c r="D91">
        <v>2011</v>
      </c>
      <c r="E91" t="s">
        <v>84</v>
      </c>
      <c r="F91" t="s">
        <v>9</v>
      </c>
      <c r="G91" s="4">
        <v>42950</v>
      </c>
      <c r="H91" t="s">
        <v>14</v>
      </c>
    </row>
    <row r="92" spans="1:8" x14ac:dyDescent="0.4">
      <c r="A92">
        <v>89</v>
      </c>
      <c r="B92" s="2">
        <v>269</v>
      </c>
      <c r="C92" s="2">
        <v>3065</v>
      </c>
      <c r="D92">
        <v>2023</v>
      </c>
      <c r="E92" t="s">
        <v>85</v>
      </c>
      <c r="F92" t="s">
        <v>9</v>
      </c>
      <c r="G92" s="4">
        <v>217950</v>
      </c>
      <c r="H92" t="s">
        <v>14</v>
      </c>
    </row>
    <row r="93" spans="1:8" x14ac:dyDescent="0.4">
      <c r="A93">
        <v>90</v>
      </c>
      <c r="B93" s="2">
        <v>270</v>
      </c>
      <c r="C93" s="2">
        <v>1939</v>
      </c>
      <c r="D93">
        <v>2025</v>
      </c>
      <c r="E93" t="s">
        <v>86</v>
      </c>
      <c r="F93" t="s">
        <v>9</v>
      </c>
      <c r="G93" s="4">
        <v>169995</v>
      </c>
      <c r="H93" t="s">
        <v>8</v>
      </c>
    </row>
    <row r="94" spans="1:8" x14ac:dyDescent="0.4">
      <c r="A94">
        <v>91</v>
      </c>
      <c r="B94" s="2">
        <v>273</v>
      </c>
      <c r="C94" s="2">
        <v>7521</v>
      </c>
      <c r="D94">
        <v>2016</v>
      </c>
      <c r="E94" t="s">
        <v>87</v>
      </c>
      <c r="F94" t="s">
        <v>9</v>
      </c>
      <c r="G94" s="4">
        <v>284950</v>
      </c>
      <c r="H94" t="s">
        <v>19</v>
      </c>
    </row>
    <row r="95" spans="1:8" x14ac:dyDescent="0.4">
      <c r="A95">
        <v>92</v>
      </c>
      <c r="B95" s="2">
        <v>288</v>
      </c>
      <c r="C95" s="2">
        <v>8938</v>
      </c>
      <c r="D95">
        <v>2022</v>
      </c>
      <c r="E95" t="s">
        <v>88</v>
      </c>
      <c r="F95" t="s">
        <v>9</v>
      </c>
      <c r="G95" s="4">
        <v>109990</v>
      </c>
      <c r="H95" t="s">
        <v>12</v>
      </c>
    </row>
    <row r="96" spans="1:8" x14ac:dyDescent="0.4">
      <c r="A96">
        <v>93</v>
      </c>
      <c r="B96" s="2">
        <v>289</v>
      </c>
      <c r="C96" s="2">
        <v>4850</v>
      </c>
      <c r="D96">
        <v>2024</v>
      </c>
      <c r="E96" t="s">
        <v>89</v>
      </c>
      <c r="F96" t="s">
        <v>9</v>
      </c>
      <c r="G96" s="4">
        <v>114995</v>
      </c>
      <c r="H96" t="s">
        <v>39</v>
      </c>
    </row>
    <row r="97" spans="1:8" x14ac:dyDescent="0.4">
      <c r="A97">
        <v>94</v>
      </c>
      <c r="B97" s="2">
        <v>294</v>
      </c>
      <c r="C97" s="2">
        <v>36000</v>
      </c>
      <c r="D97">
        <v>2015</v>
      </c>
      <c r="E97" t="s">
        <v>90</v>
      </c>
      <c r="F97" t="s">
        <v>9</v>
      </c>
      <c r="G97" s="4">
        <v>39950</v>
      </c>
      <c r="H97" t="s">
        <v>39</v>
      </c>
    </row>
    <row r="98" spans="1:8" x14ac:dyDescent="0.4">
      <c r="A98">
        <v>95</v>
      </c>
      <c r="B98" s="2">
        <v>300</v>
      </c>
      <c r="C98" s="2">
        <v>27000</v>
      </c>
      <c r="D98">
        <v>2006</v>
      </c>
      <c r="E98" t="s">
        <v>91</v>
      </c>
      <c r="F98" t="s">
        <v>7</v>
      </c>
      <c r="G98" s="4">
        <v>27000</v>
      </c>
      <c r="H98" t="s">
        <v>8</v>
      </c>
    </row>
    <row r="99" spans="1:8" x14ac:dyDescent="0.4">
      <c r="A99">
        <v>96</v>
      </c>
      <c r="B99" s="2">
        <v>317</v>
      </c>
      <c r="C99" s="2">
        <v>36495</v>
      </c>
      <c r="D99">
        <v>2011</v>
      </c>
      <c r="E99" t="s">
        <v>92</v>
      </c>
      <c r="F99" t="s">
        <v>9</v>
      </c>
      <c r="G99" s="4">
        <v>36500</v>
      </c>
      <c r="H99" t="s">
        <v>12</v>
      </c>
    </row>
    <row r="100" spans="1:8" x14ac:dyDescent="0.4">
      <c r="A100">
        <v>97</v>
      </c>
      <c r="B100" s="2">
        <v>321</v>
      </c>
      <c r="C100" s="2">
        <v>395</v>
      </c>
      <c r="D100">
        <v>2022</v>
      </c>
      <c r="E100" t="s">
        <v>93</v>
      </c>
      <c r="F100" t="s">
        <v>9</v>
      </c>
      <c r="G100" s="4">
        <v>198995</v>
      </c>
      <c r="H100" t="s">
        <v>19</v>
      </c>
    </row>
    <row r="101" spans="1:8" x14ac:dyDescent="0.4">
      <c r="A101">
        <v>98</v>
      </c>
      <c r="B101" s="2">
        <v>323</v>
      </c>
      <c r="C101" s="2">
        <v>3418</v>
      </c>
      <c r="D101">
        <v>2024</v>
      </c>
      <c r="E101" t="s">
        <v>81</v>
      </c>
      <c r="F101" t="s">
        <v>9</v>
      </c>
      <c r="G101" s="4">
        <v>126990</v>
      </c>
      <c r="H101" t="s">
        <v>19</v>
      </c>
    </row>
    <row r="102" spans="1:8" x14ac:dyDescent="0.4">
      <c r="A102">
        <v>99</v>
      </c>
      <c r="B102" s="2">
        <v>333</v>
      </c>
      <c r="C102" s="2">
        <v>3751</v>
      </c>
      <c r="D102">
        <v>2024</v>
      </c>
      <c r="E102" t="s">
        <v>94</v>
      </c>
      <c r="F102" t="s">
        <v>9</v>
      </c>
      <c r="G102" s="4">
        <v>109900</v>
      </c>
      <c r="H102" t="s">
        <v>39</v>
      </c>
    </row>
    <row r="103" spans="1:8" x14ac:dyDescent="0.4">
      <c r="A103">
        <v>100</v>
      </c>
      <c r="B103" s="2">
        <v>334</v>
      </c>
      <c r="C103" s="2">
        <v>41800</v>
      </c>
      <c r="D103">
        <v>1995</v>
      </c>
      <c r="E103" t="s">
        <v>95</v>
      </c>
      <c r="F103" t="s">
        <v>7</v>
      </c>
      <c r="G103" s="4">
        <v>159950</v>
      </c>
      <c r="H103" t="s">
        <v>19</v>
      </c>
    </row>
    <row r="104" spans="1:8" x14ac:dyDescent="0.4">
      <c r="A104">
        <v>101</v>
      </c>
    </row>
    <row r="105" spans="1:8" x14ac:dyDescent="0.4">
      <c r="A105">
        <v>102</v>
      </c>
      <c r="B105" t="s">
        <v>100</v>
      </c>
      <c r="C105" s="2">
        <f>SUM(Table1[Mileage])</f>
        <v>2912646</v>
      </c>
      <c r="F105" t="s">
        <v>96</v>
      </c>
      <c r="G105" s="4">
        <f>SUM(G4:G103)</f>
        <v>6961737</v>
      </c>
    </row>
    <row r="106" spans="1:8" x14ac:dyDescent="0.4">
      <c r="A106">
        <v>103</v>
      </c>
      <c r="B106" t="s">
        <v>99</v>
      </c>
      <c r="C106" s="2">
        <f>_xlfn.STDEV.S(Table1[Mileage])</f>
        <v>20672.322473121574</v>
      </c>
      <c r="F106" t="s">
        <v>99</v>
      </c>
      <c r="G106" s="4">
        <f>_xlfn.STDEV.S(Table1[Price])</f>
        <v>49145.435904214464</v>
      </c>
    </row>
    <row r="107" spans="1:8" x14ac:dyDescent="0.4">
      <c r="A107">
        <v>104</v>
      </c>
      <c r="B107" t="s">
        <v>98</v>
      </c>
      <c r="C107" s="2">
        <f>AVERAGE(Table1[Mileage])</f>
        <v>29126.46</v>
      </c>
      <c r="F107" t="s">
        <v>98</v>
      </c>
      <c r="G107" s="4">
        <f>AVERAGE(Table1[Price])</f>
        <v>69617.37</v>
      </c>
    </row>
    <row r="108" spans="1:8" x14ac:dyDescent="0.4">
      <c r="A108">
        <v>105</v>
      </c>
      <c r="B108" t="s">
        <v>101</v>
      </c>
      <c r="C108" s="2">
        <f>MEDIAN(Table1[Mileage])</f>
        <v>26167.5</v>
      </c>
      <c r="F108" t="s">
        <v>102</v>
      </c>
      <c r="G108" s="4">
        <f>MEDIAN(Table1[Price])</f>
        <v>50495</v>
      </c>
    </row>
    <row r="109" spans="1:8" x14ac:dyDescent="0.4">
      <c r="A109">
        <v>106</v>
      </c>
      <c r="C109" s="2"/>
      <c r="G109" s="4"/>
    </row>
    <row r="110" spans="1:8" x14ac:dyDescent="0.4">
      <c r="A110">
        <v>107</v>
      </c>
      <c r="C110" s="2"/>
      <c r="G110" s="4"/>
    </row>
    <row r="111" spans="1:8" x14ac:dyDescent="0.4">
      <c r="A111">
        <v>108</v>
      </c>
      <c r="C111" s="2"/>
      <c r="G111" s="4"/>
    </row>
    <row r="112" spans="1:8" x14ac:dyDescent="0.4">
      <c r="A112">
        <v>109</v>
      </c>
      <c r="C112" s="2"/>
      <c r="G112" s="4"/>
    </row>
    <row r="113" spans="1:7" x14ac:dyDescent="0.4">
      <c r="A113">
        <v>110</v>
      </c>
      <c r="C113" s="2"/>
      <c r="G113" s="4"/>
    </row>
    <row r="114" spans="1:7" x14ac:dyDescent="0.4">
      <c r="A114">
        <v>111</v>
      </c>
      <c r="C114" s="2"/>
      <c r="G114" s="4"/>
    </row>
    <row r="115" spans="1:7" x14ac:dyDescent="0.4">
      <c r="A115">
        <v>112</v>
      </c>
      <c r="C115" s="2"/>
      <c r="G115" s="4"/>
    </row>
    <row r="116" spans="1:7" x14ac:dyDescent="0.4">
      <c r="A116">
        <v>113</v>
      </c>
      <c r="C116" s="2"/>
    </row>
    <row r="117" spans="1:7" x14ac:dyDescent="0.4">
      <c r="A117">
        <v>114</v>
      </c>
      <c r="C117" s="2"/>
    </row>
    <row r="118" spans="1:7" x14ac:dyDescent="0.4">
      <c r="A118">
        <v>115</v>
      </c>
      <c r="C118" s="2"/>
    </row>
    <row r="119" spans="1:7" x14ac:dyDescent="0.4">
      <c r="A119">
        <v>116</v>
      </c>
      <c r="C119" s="2"/>
    </row>
    <row r="120" spans="1:7" x14ac:dyDescent="0.4">
      <c r="A120">
        <v>117</v>
      </c>
      <c r="C120" s="2"/>
    </row>
    <row r="121" spans="1:7" x14ac:dyDescent="0.4">
      <c r="A121">
        <v>118</v>
      </c>
      <c r="C121" s="2"/>
    </row>
    <row r="122" spans="1:7" x14ac:dyDescent="0.4">
      <c r="A122">
        <v>119</v>
      </c>
      <c r="C122" s="2"/>
    </row>
    <row r="123" spans="1:7" x14ac:dyDescent="0.4">
      <c r="A123">
        <v>120</v>
      </c>
      <c r="C123" s="2"/>
    </row>
    <row r="124" spans="1:7" x14ac:dyDescent="0.4">
      <c r="A124">
        <v>121</v>
      </c>
      <c r="C124" s="2"/>
    </row>
    <row r="125" spans="1:7" x14ac:dyDescent="0.4">
      <c r="A125">
        <v>122</v>
      </c>
      <c r="C125" s="2"/>
    </row>
    <row r="126" spans="1:7" x14ac:dyDescent="0.4">
      <c r="A126">
        <v>123</v>
      </c>
      <c r="C126" s="2"/>
    </row>
    <row r="127" spans="1:7" x14ac:dyDescent="0.4">
      <c r="A127">
        <v>124</v>
      </c>
      <c r="C127" s="2"/>
    </row>
    <row r="128" spans="1:7" x14ac:dyDescent="0.4">
      <c r="A128">
        <v>125</v>
      </c>
      <c r="C128" s="2"/>
    </row>
    <row r="129" spans="1:3" x14ac:dyDescent="0.4">
      <c r="A129">
        <v>126</v>
      </c>
      <c r="C129" s="2"/>
    </row>
    <row r="130" spans="1:3" x14ac:dyDescent="0.4">
      <c r="A130">
        <v>127</v>
      </c>
      <c r="C130" s="2"/>
    </row>
    <row r="131" spans="1:3" x14ac:dyDescent="0.4">
      <c r="A131">
        <v>128</v>
      </c>
      <c r="C131" s="2"/>
    </row>
    <row r="132" spans="1:3" x14ac:dyDescent="0.4">
      <c r="A132">
        <v>129</v>
      </c>
      <c r="C132" s="2"/>
    </row>
    <row r="133" spans="1:3" x14ac:dyDescent="0.4">
      <c r="A133">
        <v>130</v>
      </c>
      <c r="C133" s="2"/>
    </row>
    <row r="134" spans="1:3" x14ac:dyDescent="0.4">
      <c r="A134">
        <v>131</v>
      </c>
      <c r="C134" s="2"/>
    </row>
    <row r="135" spans="1:3" x14ac:dyDescent="0.4">
      <c r="A135">
        <v>132</v>
      </c>
      <c r="C135" s="2"/>
    </row>
    <row r="136" spans="1:3" x14ac:dyDescent="0.4">
      <c r="A136">
        <v>133</v>
      </c>
      <c r="C136" s="2"/>
    </row>
    <row r="137" spans="1:3" x14ac:dyDescent="0.4">
      <c r="A137">
        <v>134</v>
      </c>
      <c r="C137" s="2"/>
    </row>
    <row r="138" spans="1:3" x14ac:dyDescent="0.4">
      <c r="A138">
        <v>135</v>
      </c>
      <c r="C138" s="2"/>
    </row>
    <row r="139" spans="1:3" x14ac:dyDescent="0.4">
      <c r="A139">
        <v>136</v>
      </c>
      <c r="C139" s="2"/>
    </row>
    <row r="140" spans="1:3" x14ac:dyDescent="0.4">
      <c r="A140">
        <v>137</v>
      </c>
      <c r="C140" s="2"/>
    </row>
    <row r="141" spans="1:3" x14ac:dyDescent="0.4">
      <c r="A141">
        <v>138</v>
      </c>
      <c r="C141" s="2"/>
    </row>
    <row r="142" spans="1:3" x14ac:dyDescent="0.4">
      <c r="A142">
        <v>139</v>
      </c>
      <c r="C142" s="2"/>
    </row>
    <row r="143" spans="1:3" x14ac:dyDescent="0.4">
      <c r="A143">
        <v>140</v>
      </c>
      <c r="C143" s="2"/>
    </row>
    <row r="144" spans="1:3" x14ac:dyDescent="0.4">
      <c r="A144">
        <v>141</v>
      </c>
      <c r="C144" s="2"/>
    </row>
    <row r="145" spans="1:3" x14ac:dyDescent="0.4">
      <c r="A145">
        <v>142</v>
      </c>
      <c r="C145" s="2"/>
    </row>
    <row r="146" spans="1:3" x14ac:dyDescent="0.4">
      <c r="A146">
        <v>143</v>
      </c>
      <c r="C146" s="2"/>
    </row>
    <row r="147" spans="1:3" x14ac:dyDescent="0.4">
      <c r="A147">
        <v>144</v>
      </c>
      <c r="C147" s="2"/>
    </row>
    <row r="148" spans="1:3" x14ac:dyDescent="0.4">
      <c r="A148">
        <v>145</v>
      </c>
      <c r="C148" s="2"/>
    </row>
    <row r="149" spans="1:3" x14ac:dyDescent="0.4">
      <c r="A149">
        <v>146</v>
      </c>
      <c r="C149" s="2"/>
    </row>
    <row r="150" spans="1:3" x14ac:dyDescent="0.4">
      <c r="A150">
        <v>147</v>
      </c>
      <c r="C150" s="2"/>
    </row>
    <row r="151" spans="1:3" x14ac:dyDescent="0.4">
      <c r="A151">
        <v>148</v>
      </c>
      <c r="C151" s="2"/>
    </row>
    <row r="152" spans="1:3" x14ac:dyDescent="0.4">
      <c r="A152">
        <v>149</v>
      </c>
      <c r="C152" s="2"/>
    </row>
    <row r="153" spans="1:3" x14ac:dyDescent="0.4">
      <c r="A153">
        <v>150</v>
      </c>
      <c r="C153" s="2"/>
    </row>
    <row r="154" spans="1:3" x14ac:dyDescent="0.4">
      <c r="A154">
        <v>151</v>
      </c>
      <c r="C154" s="2"/>
    </row>
    <row r="155" spans="1:3" x14ac:dyDescent="0.4">
      <c r="A155">
        <v>152</v>
      </c>
      <c r="C155" s="2"/>
    </row>
    <row r="156" spans="1:3" x14ac:dyDescent="0.4">
      <c r="A156">
        <v>153</v>
      </c>
      <c r="C156" s="2"/>
    </row>
    <row r="157" spans="1:3" x14ac:dyDescent="0.4">
      <c r="A157">
        <v>154</v>
      </c>
      <c r="C157" s="2"/>
    </row>
    <row r="158" spans="1:3" x14ac:dyDescent="0.4">
      <c r="A158">
        <v>155</v>
      </c>
      <c r="C158" s="2"/>
    </row>
    <row r="159" spans="1:3" x14ac:dyDescent="0.4">
      <c r="A159">
        <v>156</v>
      </c>
      <c r="C159" s="2"/>
    </row>
    <row r="160" spans="1:3" x14ac:dyDescent="0.4">
      <c r="A160">
        <v>157</v>
      </c>
      <c r="C160" s="2"/>
    </row>
    <row r="161" spans="1:3" x14ac:dyDescent="0.4">
      <c r="A161">
        <v>158</v>
      </c>
      <c r="C161" s="2"/>
    </row>
    <row r="162" spans="1:3" x14ac:dyDescent="0.4">
      <c r="A162">
        <v>159</v>
      </c>
      <c r="C162" s="2"/>
    </row>
    <row r="163" spans="1:3" x14ac:dyDescent="0.4">
      <c r="A163">
        <v>160</v>
      </c>
      <c r="C163" s="2"/>
    </row>
    <row r="164" spans="1:3" x14ac:dyDescent="0.4">
      <c r="A164">
        <v>161</v>
      </c>
      <c r="C164" s="2"/>
    </row>
    <row r="165" spans="1:3" x14ac:dyDescent="0.4">
      <c r="A165">
        <v>162</v>
      </c>
      <c r="C165" s="2"/>
    </row>
    <row r="166" spans="1:3" x14ac:dyDescent="0.4">
      <c r="A166">
        <v>163</v>
      </c>
      <c r="C166" s="2"/>
    </row>
    <row r="167" spans="1:3" x14ac:dyDescent="0.4">
      <c r="A167">
        <v>164</v>
      </c>
      <c r="C167" s="2"/>
    </row>
    <row r="168" spans="1:3" x14ac:dyDescent="0.4">
      <c r="A168">
        <v>165</v>
      </c>
      <c r="C168" s="2"/>
    </row>
    <row r="169" spans="1:3" x14ac:dyDescent="0.4">
      <c r="A169">
        <v>166</v>
      </c>
      <c r="C169" s="2"/>
    </row>
    <row r="170" spans="1:3" x14ac:dyDescent="0.4">
      <c r="A170">
        <v>167</v>
      </c>
      <c r="C170" s="2"/>
    </row>
    <row r="171" spans="1:3" x14ac:dyDescent="0.4">
      <c r="A171">
        <v>168</v>
      </c>
      <c r="C171" s="2"/>
    </row>
    <row r="172" spans="1:3" x14ac:dyDescent="0.4">
      <c r="A172">
        <v>169</v>
      </c>
      <c r="C172" s="2"/>
    </row>
    <row r="173" spans="1:3" x14ac:dyDescent="0.4">
      <c r="A173">
        <v>170</v>
      </c>
      <c r="C173" s="2"/>
    </row>
    <row r="174" spans="1:3" x14ac:dyDescent="0.4">
      <c r="A174">
        <v>171</v>
      </c>
      <c r="C174" s="2"/>
    </row>
    <row r="175" spans="1:3" x14ac:dyDescent="0.4">
      <c r="A175">
        <v>172</v>
      </c>
      <c r="C175" s="2"/>
    </row>
    <row r="176" spans="1:3" x14ac:dyDescent="0.4">
      <c r="A176">
        <v>173</v>
      </c>
      <c r="C176" s="2"/>
    </row>
    <row r="177" spans="1:3" x14ac:dyDescent="0.4">
      <c r="A177">
        <v>174</v>
      </c>
      <c r="C177" s="2"/>
    </row>
    <row r="178" spans="1:3" x14ac:dyDescent="0.4">
      <c r="A178">
        <v>175</v>
      </c>
      <c r="C178" s="2"/>
    </row>
    <row r="179" spans="1:3" x14ac:dyDescent="0.4">
      <c r="A179">
        <v>176</v>
      </c>
      <c r="C179" s="2"/>
    </row>
    <row r="180" spans="1:3" x14ac:dyDescent="0.4">
      <c r="A180">
        <v>177</v>
      </c>
      <c r="C180" s="2"/>
    </row>
    <row r="181" spans="1:3" x14ac:dyDescent="0.4">
      <c r="A181">
        <v>178</v>
      </c>
      <c r="C181" s="2"/>
    </row>
    <row r="182" spans="1:3" x14ac:dyDescent="0.4">
      <c r="A182">
        <v>179</v>
      </c>
      <c r="C182" s="2"/>
    </row>
    <row r="183" spans="1:3" x14ac:dyDescent="0.4">
      <c r="A183">
        <v>180</v>
      </c>
      <c r="C183" s="2"/>
    </row>
    <row r="184" spans="1:3" x14ac:dyDescent="0.4">
      <c r="A184">
        <v>181</v>
      </c>
      <c r="C184" s="2"/>
    </row>
    <row r="185" spans="1:3" x14ac:dyDescent="0.4">
      <c r="A185">
        <v>182</v>
      </c>
      <c r="C185" s="2"/>
    </row>
    <row r="186" spans="1:3" x14ac:dyDescent="0.4">
      <c r="A186">
        <v>183</v>
      </c>
      <c r="C186" s="2"/>
    </row>
    <row r="187" spans="1:3" x14ac:dyDescent="0.4">
      <c r="A187">
        <v>184</v>
      </c>
      <c r="C187" s="2"/>
    </row>
    <row r="188" spans="1:3" x14ac:dyDescent="0.4">
      <c r="A188">
        <v>185</v>
      </c>
      <c r="C188" s="2"/>
    </row>
    <row r="189" spans="1:3" x14ac:dyDescent="0.4">
      <c r="A189">
        <v>186</v>
      </c>
      <c r="C189" s="2"/>
    </row>
    <row r="190" spans="1:3" x14ac:dyDescent="0.4">
      <c r="A190">
        <v>187</v>
      </c>
      <c r="C190" s="2"/>
    </row>
    <row r="191" spans="1:3" x14ac:dyDescent="0.4">
      <c r="A191">
        <v>188</v>
      </c>
      <c r="C191" s="2"/>
    </row>
    <row r="192" spans="1:3" x14ac:dyDescent="0.4">
      <c r="A192">
        <v>189</v>
      </c>
      <c r="C192" s="2"/>
    </row>
    <row r="193" spans="1:3" x14ac:dyDescent="0.4">
      <c r="A193">
        <v>190</v>
      </c>
      <c r="C193" s="2"/>
    </row>
    <row r="194" spans="1:3" x14ac:dyDescent="0.4">
      <c r="A194">
        <v>191</v>
      </c>
      <c r="C194" s="2"/>
    </row>
    <row r="195" spans="1:3" x14ac:dyDescent="0.4">
      <c r="A195">
        <v>192</v>
      </c>
      <c r="C195" s="2"/>
    </row>
    <row r="196" spans="1:3" x14ac:dyDescent="0.4">
      <c r="A196">
        <v>193</v>
      </c>
      <c r="C196" s="2"/>
    </row>
    <row r="197" spans="1:3" x14ac:dyDescent="0.4">
      <c r="A197">
        <v>194</v>
      </c>
      <c r="C197" s="2"/>
    </row>
    <row r="198" spans="1:3" x14ac:dyDescent="0.4">
      <c r="A198">
        <v>195</v>
      </c>
      <c r="C198" s="2"/>
    </row>
    <row r="199" spans="1:3" x14ac:dyDescent="0.4">
      <c r="A199">
        <v>196</v>
      </c>
      <c r="C199" s="2"/>
    </row>
    <row r="200" spans="1:3" x14ac:dyDescent="0.4">
      <c r="A200">
        <v>197</v>
      </c>
      <c r="C200" s="2"/>
    </row>
    <row r="201" spans="1:3" x14ac:dyDescent="0.4">
      <c r="A201">
        <v>198</v>
      </c>
      <c r="C201" s="2"/>
    </row>
    <row r="202" spans="1:3" x14ac:dyDescent="0.4">
      <c r="A202">
        <v>199</v>
      </c>
      <c r="C202" s="2"/>
    </row>
    <row r="203" spans="1:3" x14ac:dyDescent="0.4">
      <c r="A203">
        <v>200</v>
      </c>
      <c r="C203" s="2"/>
    </row>
    <row r="204" spans="1:3" x14ac:dyDescent="0.4">
      <c r="A204">
        <v>201</v>
      </c>
      <c r="C204" s="2"/>
    </row>
    <row r="205" spans="1:3" x14ac:dyDescent="0.4">
      <c r="A205">
        <v>202</v>
      </c>
      <c r="C205" s="2"/>
    </row>
    <row r="206" spans="1:3" x14ac:dyDescent="0.4">
      <c r="A206">
        <v>203</v>
      </c>
      <c r="C206" s="2"/>
    </row>
    <row r="207" spans="1:3" x14ac:dyDescent="0.4">
      <c r="A207">
        <v>204</v>
      </c>
      <c r="C207" s="2"/>
    </row>
    <row r="208" spans="1:3" x14ac:dyDescent="0.4">
      <c r="A208">
        <v>205</v>
      </c>
      <c r="C208" s="2"/>
    </row>
    <row r="209" spans="1:3" x14ac:dyDescent="0.4">
      <c r="A209">
        <v>206</v>
      </c>
      <c r="C209" s="2"/>
    </row>
    <row r="210" spans="1:3" x14ac:dyDescent="0.4">
      <c r="A210">
        <v>207</v>
      </c>
      <c r="C210" s="2"/>
    </row>
    <row r="211" spans="1:3" x14ac:dyDescent="0.4">
      <c r="A211">
        <v>208</v>
      </c>
      <c r="C211" s="2"/>
    </row>
    <row r="212" spans="1:3" x14ac:dyDescent="0.4">
      <c r="A212">
        <v>209</v>
      </c>
      <c r="C212" s="2"/>
    </row>
    <row r="213" spans="1:3" x14ac:dyDescent="0.4">
      <c r="A213">
        <v>210</v>
      </c>
      <c r="C213" s="2"/>
    </row>
    <row r="214" spans="1:3" x14ac:dyDescent="0.4">
      <c r="A214">
        <v>211</v>
      </c>
      <c r="C214" s="2"/>
    </row>
    <row r="215" spans="1:3" x14ac:dyDescent="0.4">
      <c r="A215">
        <v>212</v>
      </c>
      <c r="C215" s="2"/>
    </row>
    <row r="216" spans="1:3" x14ac:dyDescent="0.4">
      <c r="A216">
        <v>213</v>
      </c>
      <c r="C216" s="2"/>
    </row>
    <row r="217" spans="1:3" x14ac:dyDescent="0.4">
      <c r="A217">
        <v>214</v>
      </c>
      <c r="C217" s="2"/>
    </row>
    <row r="218" spans="1:3" x14ac:dyDescent="0.4">
      <c r="A218">
        <v>215</v>
      </c>
      <c r="C218" s="2"/>
    </row>
    <row r="219" spans="1:3" x14ac:dyDescent="0.4">
      <c r="A219">
        <v>216</v>
      </c>
      <c r="C219" s="2"/>
    </row>
    <row r="220" spans="1:3" x14ac:dyDescent="0.4">
      <c r="A220">
        <v>217</v>
      </c>
      <c r="C220" s="2"/>
    </row>
    <row r="221" spans="1:3" x14ac:dyDescent="0.4">
      <c r="A221">
        <v>218</v>
      </c>
      <c r="C221" s="2"/>
    </row>
    <row r="222" spans="1:3" x14ac:dyDescent="0.4">
      <c r="A222">
        <v>219</v>
      </c>
      <c r="C222" s="2"/>
    </row>
    <row r="223" spans="1:3" x14ac:dyDescent="0.4">
      <c r="A223">
        <v>220</v>
      </c>
      <c r="C223" s="2"/>
    </row>
    <row r="224" spans="1:3" x14ac:dyDescent="0.4">
      <c r="A224">
        <v>221</v>
      </c>
      <c r="C224" s="2"/>
    </row>
    <row r="225" spans="1:3" x14ac:dyDescent="0.4">
      <c r="A225">
        <v>222</v>
      </c>
      <c r="C225" s="2"/>
    </row>
    <row r="226" spans="1:3" x14ac:dyDescent="0.4">
      <c r="A226">
        <v>223</v>
      </c>
      <c r="C226" s="2"/>
    </row>
    <row r="227" spans="1:3" x14ac:dyDescent="0.4">
      <c r="A227">
        <v>224</v>
      </c>
      <c r="C227" s="2"/>
    </row>
    <row r="228" spans="1:3" x14ac:dyDescent="0.4">
      <c r="A228">
        <v>225</v>
      </c>
      <c r="C228" s="2"/>
    </row>
    <row r="229" spans="1:3" x14ac:dyDescent="0.4">
      <c r="A229">
        <v>226</v>
      </c>
      <c r="C229" s="2"/>
    </row>
    <row r="230" spans="1:3" x14ac:dyDescent="0.4">
      <c r="A230">
        <v>227</v>
      </c>
      <c r="C230" s="2"/>
    </row>
    <row r="231" spans="1:3" x14ac:dyDescent="0.4">
      <c r="A231">
        <v>228</v>
      </c>
      <c r="C231" s="2"/>
    </row>
    <row r="232" spans="1:3" x14ac:dyDescent="0.4">
      <c r="A232">
        <v>229</v>
      </c>
      <c r="C232" s="2"/>
    </row>
    <row r="233" spans="1:3" x14ac:dyDescent="0.4">
      <c r="A233">
        <v>230</v>
      </c>
      <c r="C233" s="2"/>
    </row>
    <row r="234" spans="1:3" x14ac:dyDescent="0.4">
      <c r="A234">
        <v>231</v>
      </c>
      <c r="C234" s="2"/>
    </row>
    <row r="235" spans="1:3" x14ac:dyDescent="0.4">
      <c r="A235">
        <v>232</v>
      </c>
      <c r="C235" s="2"/>
    </row>
    <row r="236" spans="1:3" x14ac:dyDescent="0.4">
      <c r="A236">
        <v>233</v>
      </c>
      <c r="C236" s="2"/>
    </row>
    <row r="237" spans="1:3" x14ac:dyDescent="0.4">
      <c r="A237">
        <v>234</v>
      </c>
      <c r="C237" s="2"/>
    </row>
    <row r="238" spans="1:3" x14ac:dyDescent="0.4">
      <c r="A238">
        <v>235</v>
      </c>
      <c r="C238" s="2"/>
    </row>
    <row r="239" spans="1:3" x14ac:dyDescent="0.4">
      <c r="A239">
        <v>236</v>
      </c>
      <c r="C239" s="2"/>
    </row>
    <row r="240" spans="1:3" x14ac:dyDescent="0.4">
      <c r="A240">
        <v>237</v>
      </c>
      <c r="C240" s="2"/>
    </row>
    <row r="241" spans="1:3" x14ac:dyDescent="0.4">
      <c r="A241">
        <v>238</v>
      </c>
      <c r="C241" s="2"/>
    </row>
    <row r="242" spans="1:3" x14ac:dyDescent="0.4">
      <c r="A242">
        <v>239</v>
      </c>
      <c r="C242" s="2"/>
    </row>
    <row r="243" spans="1:3" x14ac:dyDescent="0.4">
      <c r="A243">
        <v>240</v>
      </c>
      <c r="C243" s="2"/>
    </row>
    <row r="244" spans="1:3" x14ac:dyDescent="0.4">
      <c r="A244">
        <v>241</v>
      </c>
      <c r="C244" s="2"/>
    </row>
    <row r="245" spans="1:3" x14ac:dyDescent="0.4">
      <c r="A245">
        <v>242</v>
      </c>
      <c r="C245" s="2"/>
    </row>
    <row r="246" spans="1:3" x14ac:dyDescent="0.4">
      <c r="A246">
        <v>243</v>
      </c>
      <c r="C246" s="2"/>
    </row>
    <row r="247" spans="1:3" x14ac:dyDescent="0.4">
      <c r="A247">
        <v>244</v>
      </c>
      <c r="C247" s="2"/>
    </row>
    <row r="248" spans="1:3" x14ac:dyDescent="0.4">
      <c r="A248">
        <v>245</v>
      </c>
      <c r="C248" s="2"/>
    </row>
    <row r="249" spans="1:3" x14ac:dyDescent="0.4">
      <c r="A249">
        <v>246</v>
      </c>
      <c r="C249" s="2"/>
    </row>
    <row r="250" spans="1:3" x14ac:dyDescent="0.4">
      <c r="A250">
        <v>247</v>
      </c>
      <c r="C250" s="2"/>
    </row>
    <row r="251" spans="1:3" x14ac:dyDescent="0.4">
      <c r="A251">
        <v>248</v>
      </c>
      <c r="C251" s="2"/>
    </row>
    <row r="252" spans="1:3" x14ac:dyDescent="0.4">
      <c r="A252">
        <v>249</v>
      </c>
      <c r="C252" s="2"/>
    </row>
    <row r="253" spans="1:3" x14ac:dyDescent="0.4">
      <c r="A253">
        <v>250</v>
      </c>
      <c r="C253" s="2"/>
    </row>
    <row r="254" spans="1:3" x14ac:dyDescent="0.4">
      <c r="A254">
        <v>251</v>
      </c>
      <c r="C254" s="2"/>
    </row>
    <row r="255" spans="1:3" x14ac:dyDescent="0.4">
      <c r="A255">
        <v>252</v>
      </c>
      <c r="C255" s="2"/>
    </row>
    <row r="256" spans="1:3" x14ac:dyDescent="0.4">
      <c r="A256">
        <v>253</v>
      </c>
      <c r="C256" s="2"/>
    </row>
    <row r="257" spans="1:3" x14ac:dyDescent="0.4">
      <c r="A257">
        <v>254</v>
      </c>
      <c r="C257" s="2"/>
    </row>
    <row r="258" spans="1:3" x14ac:dyDescent="0.4">
      <c r="A258">
        <v>255</v>
      </c>
      <c r="C258" s="2"/>
    </row>
    <row r="259" spans="1:3" x14ac:dyDescent="0.4">
      <c r="A259">
        <v>256</v>
      </c>
      <c r="C259" s="2"/>
    </row>
    <row r="260" spans="1:3" x14ac:dyDescent="0.4">
      <c r="A260">
        <v>257</v>
      </c>
      <c r="C260" s="2"/>
    </row>
    <row r="261" spans="1:3" x14ac:dyDescent="0.4">
      <c r="A261">
        <v>258</v>
      </c>
      <c r="C261" s="2"/>
    </row>
    <row r="262" spans="1:3" x14ac:dyDescent="0.4">
      <c r="A262">
        <v>259</v>
      </c>
      <c r="C262" s="2"/>
    </row>
    <row r="263" spans="1:3" x14ac:dyDescent="0.4">
      <c r="A263">
        <v>260</v>
      </c>
      <c r="C263" s="2"/>
    </row>
    <row r="264" spans="1:3" x14ac:dyDescent="0.4">
      <c r="A264">
        <v>261</v>
      </c>
      <c r="C264" s="2"/>
    </row>
    <row r="265" spans="1:3" x14ac:dyDescent="0.4">
      <c r="A265">
        <v>262</v>
      </c>
      <c r="C265" s="2"/>
    </row>
    <row r="266" spans="1:3" x14ac:dyDescent="0.4">
      <c r="A266">
        <v>263</v>
      </c>
      <c r="C266" s="2"/>
    </row>
    <row r="267" spans="1:3" x14ac:dyDescent="0.4">
      <c r="A267">
        <v>264</v>
      </c>
      <c r="C267" s="2"/>
    </row>
    <row r="268" spans="1:3" x14ac:dyDescent="0.4">
      <c r="A268">
        <v>265</v>
      </c>
      <c r="C268" s="2"/>
    </row>
    <row r="269" spans="1:3" x14ac:dyDescent="0.4">
      <c r="A269">
        <v>266</v>
      </c>
      <c r="C269" s="2"/>
    </row>
    <row r="270" spans="1:3" x14ac:dyDescent="0.4">
      <c r="A270">
        <v>267</v>
      </c>
      <c r="C270" s="2"/>
    </row>
    <row r="271" spans="1:3" x14ac:dyDescent="0.4">
      <c r="A271">
        <v>268</v>
      </c>
      <c r="C271" s="2"/>
    </row>
    <row r="272" spans="1:3" x14ac:dyDescent="0.4">
      <c r="A272">
        <v>269</v>
      </c>
      <c r="C272" s="2"/>
    </row>
    <row r="273" spans="1:3" x14ac:dyDescent="0.4">
      <c r="A273">
        <v>270</v>
      </c>
      <c r="C273" s="2"/>
    </row>
    <row r="274" spans="1:3" x14ac:dyDescent="0.4">
      <c r="A274">
        <v>271</v>
      </c>
      <c r="C274" s="2"/>
    </row>
    <row r="275" spans="1:3" x14ac:dyDescent="0.4">
      <c r="A275">
        <v>272</v>
      </c>
      <c r="C275" s="2"/>
    </row>
    <row r="276" spans="1:3" x14ac:dyDescent="0.4">
      <c r="A276">
        <v>273</v>
      </c>
      <c r="C276" s="2"/>
    </row>
    <row r="277" spans="1:3" x14ac:dyDescent="0.4">
      <c r="A277">
        <v>274</v>
      </c>
      <c r="C277" s="2"/>
    </row>
    <row r="278" spans="1:3" x14ac:dyDescent="0.4">
      <c r="A278">
        <v>275</v>
      </c>
      <c r="C278" s="2"/>
    </row>
    <row r="279" spans="1:3" x14ac:dyDescent="0.4">
      <c r="A279">
        <v>276</v>
      </c>
      <c r="C279" s="2"/>
    </row>
    <row r="280" spans="1:3" x14ac:dyDescent="0.4">
      <c r="A280">
        <v>277</v>
      </c>
      <c r="C280" s="2"/>
    </row>
    <row r="281" spans="1:3" x14ac:dyDescent="0.4">
      <c r="A281">
        <v>278</v>
      </c>
      <c r="C281" s="2"/>
    </row>
    <row r="282" spans="1:3" x14ac:dyDescent="0.4">
      <c r="A282">
        <v>279</v>
      </c>
      <c r="C282" s="2"/>
    </row>
    <row r="283" spans="1:3" x14ac:dyDescent="0.4">
      <c r="A283">
        <v>280</v>
      </c>
      <c r="C283" s="2"/>
    </row>
    <row r="284" spans="1:3" x14ac:dyDescent="0.4">
      <c r="A284">
        <v>281</v>
      </c>
      <c r="C284" s="2"/>
    </row>
    <row r="285" spans="1:3" x14ac:dyDescent="0.4">
      <c r="A285">
        <v>282</v>
      </c>
      <c r="C285" s="2"/>
    </row>
    <row r="286" spans="1:3" x14ac:dyDescent="0.4">
      <c r="A286">
        <v>283</v>
      </c>
      <c r="C286" s="2"/>
    </row>
    <row r="287" spans="1:3" x14ac:dyDescent="0.4">
      <c r="A287">
        <v>284</v>
      </c>
      <c r="C287" s="2"/>
    </row>
    <row r="288" spans="1:3" x14ac:dyDescent="0.4">
      <c r="A288">
        <v>285</v>
      </c>
      <c r="C288" s="2"/>
    </row>
    <row r="289" spans="1:3" x14ac:dyDescent="0.4">
      <c r="A289">
        <v>286</v>
      </c>
      <c r="C289" s="2"/>
    </row>
    <row r="290" spans="1:3" x14ac:dyDescent="0.4">
      <c r="A290">
        <v>287</v>
      </c>
      <c r="C290" s="2"/>
    </row>
    <row r="291" spans="1:3" x14ac:dyDescent="0.4">
      <c r="A291">
        <v>288</v>
      </c>
      <c r="C291" s="2"/>
    </row>
    <row r="292" spans="1:3" x14ac:dyDescent="0.4">
      <c r="A292">
        <v>289</v>
      </c>
      <c r="C292" s="2"/>
    </row>
    <row r="293" spans="1:3" x14ac:dyDescent="0.4">
      <c r="A293">
        <v>290</v>
      </c>
      <c r="C293" s="2"/>
    </row>
    <row r="294" spans="1:3" x14ac:dyDescent="0.4">
      <c r="A294">
        <v>291</v>
      </c>
      <c r="C294" s="2"/>
    </row>
    <row r="295" spans="1:3" x14ac:dyDescent="0.4">
      <c r="A295">
        <v>292</v>
      </c>
      <c r="C295" s="2"/>
    </row>
    <row r="296" spans="1:3" x14ac:dyDescent="0.4">
      <c r="A296">
        <v>293</v>
      </c>
      <c r="C296" s="2"/>
    </row>
    <row r="297" spans="1:3" x14ac:dyDescent="0.4">
      <c r="A297">
        <v>294</v>
      </c>
      <c r="C297" s="2"/>
    </row>
    <row r="298" spans="1:3" x14ac:dyDescent="0.4">
      <c r="A298">
        <v>295</v>
      </c>
      <c r="C298" s="2"/>
    </row>
    <row r="299" spans="1:3" x14ac:dyDescent="0.4">
      <c r="A299">
        <v>296</v>
      </c>
      <c r="C299" s="2"/>
    </row>
    <row r="300" spans="1:3" x14ac:dyDescent="0.4">
      <c r="A300">
        <v>297</v>
      </c>
      <c r="C300" s="2"/>
    </row>
    <row r="301" spans="1:3" x14ac:dyDescent="0.4">
      <c r="A301">
        <v>298</v>
      </c>
      <c r="C301" s="2"/>
    </row>
    <row r="302" spans="1:3" x14ac:dyDescent="0.4">
      <c r="A302">
        <v>299</v>
      </c>
      <c r="C302" s="2"/>
    </row>
    <row r="303" spans="1:3" x14ac:dyDescent="0.4">
      <c r="A303">
        <v>300</v>
      </c>
      <c r="C303" s="2"/>
    </row>
    <row r="304" spans="1:3" x14ac:dyDescent="0.4">
      <c r="A304">
        <v>301</v>
      </c>
      <c r="C304" s="2"/>
    </row>
    <row r="305" spans="1:3" x14ac:dyDescent="0.4">
      <c r="A305">
        <v>302</v>
      </c>
      <c r="C305" s="2"/>
    </row>
    <row r="306" spans="1:3" x14ac:dyDescent="0.4">
      <c r="A306">
        <v>303</v>
      </c>
      <c r="C306" s="2"/>
    </row>
    <row r="307" spans="1:3" x14ac:dyDescent="0.4">
      <c r="A307">
        <v>304</v>
      </c>
      <c r="C307" s="2"/>
    </row>
    <row r="308" spans="1:3" x14ac:dyDescent="0.4">
      <c r="A308">
        <v>305</v>
      </c>
      <c r="C308" s="2"/>
    </row>
    <row r="309" spans="1:3" x14ac:dyDescent="0.4">
      <c r="A309">
        <v>306</v>
      </c>
      <c r="C309" s="2"/>
    </row>
    <row r="310" spans="1:3" x14ac:dyDescent="0.4">
      <c r="A310">
        <v>307</v>
      </c>
      <c r="C310" s="2"/>
    </row>
    <row r="311" spans="1:3" x14ac:dyDescent="0.4">
      <c r="A311">
        <v>308</v>
      </c>
      <c r="C311" s="2"/>
    </row>
    <row r="312" spans="1:3" x14ac:dyDescent="0.4">
      <c r="A312">
        <v>309</v>
      </c>
      <c r="C312" s="2"/>
    </row>
    <row r="313" spans="1:3" x14ac:dyDescent="0.4">
      <c r="A313">
        <v>310</v>
      </c>
      <c r="C313" s="2"/>
    </row>
    <row r="314" spans="1:3" x14ac:dyDescent="0.4">
      <c r="A314">
        <v>311</v>
      </c>
      <c r="C314" s="2"/>
    </row>
    <row r="315" spans="1:3" x14ac:dyDescent="0.4">
      <c r="A315">
        <v>312</v>
      </c>
      <c r="C315" s="2"/>
    </row>
    <row r="316" spans="1:3" x14ac:dyDescent="0.4">
      <c r="A316">
        <v>313</v>
      </c>
      <c r="C316" s="2"/>
    </row>
    <row r="317" spans="1:3" x14ac:dyDescent="0.4">
      <c r="A317">
        <v>314</v>
      </c>
      <c r="C317" s="2"/>
    </row>
    <row r="318" spans="1:3" x14ac:dyDescent="0.4">
      <c r="A318">
        <v>315</v>
      </c>
      <c r="C318" s="2"/>
    </row>
    <row r="319" spans="1:3" x14ac:dyDescent="0.4">
      <c r="A319">
        <v>316</v>
      </c>
      <c r="C319" s="2"/>
    </row>
    <row r="320" spans="1:3" x14ac:dyDescent="0.4">
      <c r="A320">
        <v>317</v>
      </c>
      <c r="C320" s="2"/>
    </row>
    <row r="321" spans="1:3" x14ac:dyDescent="0.4">
      <c r="A321">
        <v>318</v>
      </c>
      <c r="C321" s="2"/>
    </row>
    <row r="322" spans="1:3" x14ac:dyDescent="0.4">
      <c r="A322">
        <v>319</v>
      </c>
      <c r="C322" s="2"/>
    </row>
    <row r="323" spans="1:3" x14ac:dyDescent="0.4">
      <c r="A323">
        <v>320</v>
      </c>
      <c r="C323" s="2"/>
    </row>
    <row r="324" spans="1:3" x14ac:dyDescent="0.4">
      <c r="A324">
        <v>321</v>
      </c>
      <c r="C324" s="2"/>
    </row>
    <row r="325" spans="1:3" x14ac:dyDescent="0.4">
      <c r="A325">
        <v>322</v>
      </c>
      <c r="C325" s="2"/>
    </row>
    <row r="326" spans="1:3" x14ac:dyDescent="0.4">
      <c r="A326">
        <v>323</v>
      </c>
      <c r="C326" s="2"/>
    </row>
    <row r="327" spans="1:3" x14ac:dyDescent="0.4">
      <c r="A327">
        <v>324</v>
      </c>
      <c r="C327" s="2"/>
    </row>
    <row r="328" spans="1:3" x14ac:dyDescent="0.4">
      <c r="A328">
        <v>325</v>
      </c>
      <c r="C328" s="2"/>
    </row>
    <row r="329" spans="1:3" x14ac:dyDescent="0.4">
      <c r="A329">
        <v>326</v>
      </c>
      <c r="C329" s="2"/>
    </row>
    <row r="330" spans="1:3" x14ac:dyDescent="0.4">
      <c r="A330">
        <v>327</v>
      </c>
      <c r="C330" s="2"/>
    </row>
    <row r="331" spans="1:3" x14ac:dyDescent="0.4">
      <c r="A331">
        <v>328</v>
      </c>
      <c r="C331" s="2"/>
    </row>
    <row r="332" spans="1:3" x14ac:dyDescent="0.4">
      <c r="A332">
        <v>329</v>
      </c>
      <c r="C332" s="2"/>
    </row>
    <row r="333" spans="1:3" x14ac:dyDescent="0.4">
      <c r="A333">
        <v>330</v>
      </c>
      <c r="C333" s="2"/>
    </row>
    <row r="334" spans="1:3" x14ac:dyDescent="0.4">
      <c r="A334">
        <v>331</v>
      </c>
      <c r="C334" s="2"/>
    </row>
    <row r="335" spans="1:3" x14ac:dyDescent="0.4">
      <c r="A335">
        <v>332</v>
      </c>
      <c r="C335" s="2"/>
    </row>
    <row r="336" spans="1:3" x14ac:dyDescent="0.4">
      <c r="A336">
        <v>333</v>
      </c>
      <c r="C336" s="2"/>
    </row>
    <row r="337" spans="1:3" x14ac:dyDescent="0.4">
      <c r="A337">
        <v>334</v>
      </c>
      <c r="C337" s="2"/>
    </row>
  </sheetData>
  <sortState xmlns:xlrd2="http://schemas.microsoft.com/office/spreadsheetml/2017/richdata2" ref="B4:B102">
    <sortCondition ref="B4:B102"/>
  </sortState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556C-8E4C-451F-8BF8-D34717820796}">
  <dimension ref="A1:Y101"/>
  <sheetViews>
    <sheetView zoomScale="101" zoomScaleNormal="55" workbookViewId="0">
      <selection activeCell="K14" sqref="K14"/>
    </sheetView>
  </sheetViews>
  <sheetFormatPr defaultRowHeight="14.6" x14ac:dyDescent="0.4"/>
  <cols>
    <col min="1" max="1" width="7.3046875" bestFit="1" customWidth="1"/>
    <col min="3" max="3" width="21.3046875" bestFit="1" customWidth="1"/>
    <col min="4" max="4" width="11.921875" bestFit="1" customWidth="1"/>
    <col min="6" max="6" width="7.3046875" bestFit="1" customWidth="1"/>
    <col min="7" max="7" width="9.53515625" bestFit="1" customWidth="1"/>
    <col min="9" max="9" width="38.921875" bestFit="1" customWidth="1"/>
    <col min="10" max="10" width="12.61328125" bestFit="1" customWidth="1"/>
    <col min="11" max="11" width="12" bestFit="1" customWidth="1"/>
    <col min="12" max="12" width="11.84375" bestFit="1" customWidth="1"/>
    <col min="13" max="13" width="11" bestFit="1" customWidth="1"/>
    <col min="14" max="14" width="9.84375" bestFit="1" customWidth="1"/>
    <col min="15" max="15" width="11.921875" bestFit="1" customWidth="1"/>
    <col min="16" max="16" width="11" bestFit="1" customWidth="1"/>
    <col min="17" max="17" width="12.4609375" bestFit="1" customWidth="1"/>
    <col min="18" max="19" width="11.84375" bestFit="1" customWidth="1"/>
    <col min="20" max="20" width="17.3046875" bestFit="1" customWidth="1"/>
    <col min="21" max="21" width="12.61328125" bestFit="1" customWidth="1"/>
    <col min="22" max="22" width="13.69140625" bestFit="1" customWidth="1"/>
    <col min="23" max="23" width="12.53515625" bestFit="1" customWidth="1"/>
    <col min="24" max="24" width="11.921875" bestFit="1" customWidth="1"/>
    <col min="25" max="25" width="34.921875" customWidth="1"/>
    <col min="26" max="29" width="10.84375" bestFit="1" customWidth="1"/>
    <col min="30" max="30" width="10.84375" customWidth="1"/>
    <col min="31" max="31" width="9.84375" bestFit="1" customWidth="1"/>
    <col min="32" max="32" width="17.84375" bestFit="1" customWidth="1"/>
    <col min="33" max="33" width="11.84375" bestFit="1" customWidth="1"/>
    <col min="34" max="34" width="7.84375" bestFit="1" customWidth="1"/>
    <col min="35" max="38" width="11.84375" bestFit="1" customWidth="1"/>
    <col min="39" max="39" width="50.3046875" customWidth="1"/>
    <col min="40" max="40" width="39.69140625" customWidth="1"/>
    <col min="41" max="41" width="11.84375" bestFit="1" customWidth="1"/>
    <col min="43" max="43" width="49.765625" customWidth="1"/>
  </cols>
  <sheetData>
    <row r="1" spans="1:25" ht="58.75" customHeight="1" thickBot="1" x14ac:dyDescent="0.45">
      <c r="A1" s="13" t="s">
        <v>2</v>
      </c>
      <c r="F1" s="25" t="s">
        <v>7</v>
      </c>
      <c r="G1" s="25" t="s">
        <v>9</v>
      </c>
      <c r="M1" s="19" t="s">
        <v>135</v>
      </c>
      <c r="N1" s="19" t="s">
        <v>136</v>
      </c>
      <c r="O1" s="19" t="s">
        <v>137</v>
      </c>
      <c r="P1" s="19" t="s">
        <v>138</v>
      </c>
      <c r="Y1" s="3" t="s">
        <v>139</v>
      </c>
    </row>
    <row r="2" spans="1:25" x14ac:dyDescent="0.4">
      <c r="A2" s="11">
        <v>23995</v>
      </c>
      <c r="C2" s="17" t="s">
        <v>2</v>
      </c>
      <c r="D2" s="17"/>
      <c r="F2" s="26">
        <v>23995</v>
      </c>
      <c r="G2" s="18">
        <v>69500</v>
      </c>
      <c r="I2" s="1" t="s">
        <v>126</v>
      </c>
      <c r="M2" s="20">
        <v>159950</v>
      </c>
      <c r="N2" s="20">
        <v>23995</v>
      </c>
      <c r="O2" s="20">
        <v>69500</v>
      </c>
      <c r="P2" s="20">
        <v>113995</v>
      </c>
      <c r="R2" s="1" t="s">
        <v>109</v>
      </c>
      <c r="Y2" s="1"/>
    </row>
    <row r="3" spans="1:25" ht="71.599999999999994" customHeight="1" thickBot="1" x14ac:dyDescent="0.45">
      <c r="A3" s="12">
        <v>69500</v>
      </c>
      <c r="F3" s="26">
        <v>24995</v>
      </c>
      <c r="G3" s="18">
        <v>113995</v>
      </c>
      <c r="M3" s="20">
        <v>159950</v>
      </c>
      <c r="N3" s="20">
        <v>24995</v>
      </c>
      <c r="O3" s="20">
        <v>39950</v>
      </c>
      <c r="P3" s="20">
        <v>76995</v>
      </c>
      <c r="Y3" s="3" t="s">
        <v>140</v>
      </c>
    </row>
    <row r="4" spans="1:25" ht="15" thickBot="1" x14ac:dyDescent="0.45">
      <c r="A4" s="11">
        <v>24995</v>
      </c>
      <c r="C4" s="15" t="s">
        <v>108</v>
      </c>
      <c r="D4" s="15">
        <v>9751.5207014246043</v>
      </c>
      <c r="F4" s="26">
        <v>29979</v>
      </c>
      <c r="G4" s="18">
        <v>76995</v>
      </c>
      <c r="I4" s="16"/>
      <c r="J4" s="16" t="s">
        <v>7</v>
      </c>
      <c r="K4" s="16" t="s">
        <v>9</v>
      </c>
      <c r="M4" s="14"/>
      <c r="N4" s="20">
        <v>29979</v>
      </c>
      <c r="O4" s="20">
        <v>69990</v>
      </c>
      <c r="P4" s="20">
        <v>78995</v>
      </c>
      <c r="R4" s="1" t="s">
        <v>110</v>
      </c>
    </row>
    <row r="5" spans="1:25" x14ac:dyDescent="0.4">
      <c r="A5" s="12">
        <v>29979</v>
      </c>
      <c r="F5" s="26">
        <v>29999</v>
      </c>
      <c r="G5" s="18">
        <v>39950</v>
      </c>
      <c r="I5" t="s">
        <v>98</v>
      </c>
      <c r="J5">
        <v>50614.9375</v>
      </c>
      <c r="K5">
        <v>78559.691176470587</v>
      </c>
      <c r="L5" s="24"/>
      <c r="M5" s="14"/>
      <c r="N5" s="20">
        <v>29999</v>
      </c>
      <c r="O5" s="20">
        <v>36940</v>
      </c>
      <c r="P5" s="20">
        <v>68990</v>
      </c>
      <c r="R5" s="16" t="s">
        <v>111</v>
      </c>
      <c r="S5" s="16" t="s">
        <v>112</v>
      </c>
      <c r="T5" s="16" t="s">
        <v>113</v>
      </c>
      <c r="U5" s="16" t="s">
        <v>114</v>
      </c>
      <c r="V5" s="16" t="s">
        <v>115</v>
      </c>
      <c r="Y5" s="1" t="s">
        <v>141</v>
      </c>
    </row>
    <row r="6" spans="1:25" x14ac:dyDescent="0.4">
      <c r="A6" s="11">
        <v>113995</v>
      </c>
      <c r="F6" s="26">
        <v>19995</v>
      </c>
      <c r="G6" s="18">
        <v>78995</v>
      </c>
      <c r="I6" t="s">
        <v>115</v>
      </c>
      <c r="J6">
        <v>1471494734.4475806</v>
      </c>
      <c r="K6">
        <v>2634375984.0076823</v>
      </c>
      <c r="M6" s="14"/>
      <c r="N6" s="20">
        <v>19995</v>
      </c>
      <c r="O6" s="20">
        <v>38500</v>
      </c>
      <c r="P6" s="20">
        <v>89950</v>
      </c>
      <c r="R6" t="s">
        <v>135</v>
      </c>
      <c r="S6">
        <v>2</v>
      </c>
      <c r="T6">
        <v>319900</v>
      </c>
      <c r="U6">
        <v>159950</v>
      </c>
      <c r="V6">
        <v>0</v>
      </c>
    </row>
    <row r="7" spans="1:25" x14ac:dyDescent="0.4">
      <c r="A7" s="12">
        <v>76995</v>
      </c>
      <c r="F7" s="26">
        <v>69990</v>
      </c>
      <c r="G7" s="18">
        <v>26995</v>
      </c>
      <c r="I7" t="s">
        <v>127</v>
      </c>
      <c r="J7">
        <v>32</v>
      </c>
      <c r="K7">
        <v>68</v>
      </c>
      <c r="M7" s="14"/>
      <c r="N7" s="20">
        <v>26995</v>
      </c>
      <c r="O7" s="20">
        <v>127995</v>
      </c>
      <c r="P7" s="20">
        <v>76250</v>
      </c>
      <c r="R7" t="s">
        <v>136</v>
      </c>
      <c r="S7">
        <v>28</v>
      </c>
      <c r="T7">
        <v>785922</v>
      </c>
      <c r="U7">
        <v>28068.642857142859</v>
      </c>
      <c r="V7">
        <v>15581256.904761843</v>
      </c>
      <c r="Y7" t="s">
        <v>142</v>
      </c>
    </row>
    <row r="8" spans="1:25" x14ac:dyDescent="0.4">
      <c r="A8" s="11">
        <v>29999</v>
      </c>
      <c r="F8" s="26">
        <v>24950</v>
      </c>
      <c r="G8" s="18">
        <v>36995</v>
      </c>
      <c r="I8" t="s">
        <v>128</v>
      </c>
      <c r="J8">
        <v>2266525792.820303</v>
      </c>
      <c r="M8" s="14"/>
      <c r="N8" s="20">
        <v>24950</v>
      </c>
      <c r="O8" s="20">
        <v>44900</v>
      </c>
      <c r="P8" s="20">
        <v>73480</v>
      </c>
      <c r="R8" t="s">
        <v>137</v>
      </c>
      <c r="S8">
        <v>33</v>
      </c>
      <c r="T8">
        <v>1960943</v>
      </c>
      <c r="U8">
        <v>59422.515151515152</v>
      </c>
      <c r="V8">
        <v>2159858364.257576</v>
      </c>
      <c r="Y8" s="22" t="s">
        <v>143</v>
      </c>
    </row>
    <row r="9" spans="1:25" ht="15" thickBot="1" x14ac:dyDescent="0.45">
      <c r="A9" s="12">
        <v>39950</v>
      </c>
      <c r="F9" s="26">
        <v>38500</v>
      </c>
      <c r="G9" s="18">
        <v>36940</v>
      </c>
      <c r="I9" t="s">
        <v>129</v>
      </c>
      <c r="J9">
        <v>0</v>
      </c>
      <c r="M9" s="14"/>
      <c r="N9" s="20">
        <v>36995</v>
      </c>
      <c r="O9" s="20">
        <v>44490</v>
      </c>
      <c r="P9" s="20">
        <v>69950</v>
      </c>
      <c r="R9" s="15" t="s">
        <v>138</v>
      </c>
      <c r="S9" s="15">
        <v>37</v>
      </c>
      <c r="T9" s="15">
        <v>3894972</v>
      </c>
      <c r="U9" s="15">
        <v>105269.51351351352</v>
      </c>
      <c r="V9" s="15">
        <v>1512778624.4789784</v>
      </c>
      <c r="Y9" s="22" t="s">
        <v>144</v>
      </c>
    </row>
    <row r="10" spans="1:25" x14ac:dyDescent="0.4">
      <c r="A10" s="11">
        <v>19995</v>
      </c>
      <c r="F10" s="26">
        <v>44900</v>
      </c>
      <c r="G10" s="18">
        <v>127995</v>
      </c>
      <c r="I10" t="s">
        <v>119</v>
      </c>
      <c r="J10">
        <v>98</v>
      </c>
      <c r="M10" s="14"/>
      <c r="N10" s="20">
        <v>26995</v>
      </c>
      <c r="O10" s="20">
        <v>66499</v>
      </c>
      <c r="P10" s="20">
        <v>74900</v>
      </c>
      <c r="Y10" s="21"/>
    </row>
    <row r="11" spans="1:25" x14ac:dyDescent="0.4">
      <c r="A11" s="12">
        <v>69990</v>
      </c>
      <c r="F11" s="26">
        <v>89950</v>
      </c>
      <c r="G11" s="18">
        <v>68990</v>
      </c>
      <c r="I11" t="s">
        <v>130</v>
      </c>
      <c r="J11">
        <v>-2.7381005879124061</v>
      </c>
      <c r="L11" s="24"/>
      <c r="M11" s="14"/>
      <c r="N11" s="20">
        <v>33970</v>
      </c>
      <c r="O11" s="20">
        <v>43599</v>
      </c>
      <c r="P11" s="20">
        <v>76950</v>
      </c>
      <c r="Y11" s="1" t="s">
        <v>145</v>
      </c>
    </row>
    <row r="12" spans="1:25" ht="15" thickBot="1" x14ac:dyDescent="0.45">
      <c r="A12" s="11">
        <v>78995</v>
      </c>
      <c r="F12" s="26">
        <v>26495</v>
      </c>
      <c r="G12" s="18">
        <v>26995</v>
      </c>
      <c r="I12" t="s">
        <v>131</v>
      </c>
      <c r="J12">
        <v>3.6702154996463136E-3</v>
      </c>
      <c r="M12" s="14"/>
      <c r="N12" s="20">
        <v>26495</v>
      </c>
      <c r="O12" s="20">
        <v>43900</v>
      </c>
      <c r="P12" s="20">
        <v>81000</v>
      </c>
      <c r="R12" t="s">
        <v>116</v>
      </c>
    </row>
    <row r="13" spans="1:25" ht="34.299999999999997" customHeight="1" x14ac:dyDescent="0.4">
      <c r="A13" s="12">
        <v>26995</v>
      </c>
      <c r="F13" s="26">
        <v>43599</v>
      </c>
      <c r="G13" s="18">
        <v>33970</v>
      </c>
      <c r="I13" t="s">
        <v>132</v>
      </c>
      <c r="J13">
        <v>1.6605512170657302</v>
      </c>
      <c r="M13" s="14"/>
      <c r="N13" s="20">
        <v>28990</v>
      </c>
      <c r="O13" s="20">
        <v>39995</v>
      </c>
      <c r="P13" s="20">
        <v>96900</v>
      </c>
      <c r="R13" s="16" t="s">
        <v>117</v>
      </c>
      <c r="S13" s="16" t="s">
        <v>118</v>
      </c>
      <c r="T13" s="16" t="s">
        <v>119</v>
      </c>
      <c r="U13" s="16" t="s">
        <v>120</v>
      </c>
      <c r="V13" s="16" t="s">
        <v>121</v>
      </c>
      <c r="W13" s="16" t="s">
        <v>122</v>
      </c>
      <c r="X13" s="16" t="s">
        <v>123</v>
      </c>
      <c r="Y13" s="23" t="s">
        <v>146</v>
      </c>
    </row>
    <row r="14" spans="1:25" ht="43.3" customHeight="1" x14ac:dyDescent="0.4">
      <c r="A14" s="11">
        <v>24950</v>
      </c>
      <c r="F14" s="26">
        <v>34500</v>
      </c>
      <c r="G14" s="18">
        <v>44490</v>
      </c>
      <c r="I14" t="s">
        <v>133</v>
      </c>
      <c r="J14">
        <v>7.3404309992926272E-3</v>
      </c>
      <c r="M14" s="14"/>
      <c r="N14" s="20">
        <v>34500</v>
      </c>
      <c r="O14" s="20">
        <v>59900</v>
      </c>
      <c r="P14" s="20">
        <v>75480</v>
      </c>
      <c r="R14" t="s">
        <v>124</v>
      </c>
      <c r="S14">
        <v>115115921077.39578</v>
      </c>
      <c r="T14">
        <v>3</v>
      </c>
      <c r="U14">
        <v>38371973692.465263</v>
      </c>
      <c r="V14">
        <v>29.708246784552887</v>
      </c>
      <c r="W14">
        <v>1.1301476585051505E-13</v>
      </c>
      <c r="X14">
        <v>2.6993925975521802</v>
      </c>
      <c r="Y14" s="23" t="s">
        <v>147</v>
      </c>
    </row>
    <row r="15" spans="1:25" ht="15" thickBot="1" x14ac:dyDescent="0.45">
      <c r="A15" s="12">
        <v>36995</v>
      </c>
      <c r="F15" s="26">
        <v>27892</v>
      </c>
      <c r="G15" s="18">
        <v>76250</v>
      </c>
      <c r="I15" s="15" t="s">
        <v>134</v>
      </c>
      <c r="J15" s="15">
        <v>1.9844674545084788</v>
      </c>
      <c r="K15" s="15"/>
      <c r="M15" s="14"/>
      <c r="N15" s="20">
        <v>29975</v>
      </c>
      <c r="O15" s="20">
        <v>47990</v>
      </c>
      <c r="P15" s="20">
        <v>77950</v>
      </c>
      <c r="R15" t="s">
        <v>125</v>
      </c>
      <c r="S15">
        <v>123996192073.91425</v>
      </c>
      <c r="T15">
        <v>96</v>
      </c>
      <c r="U15">
        <v>1291627000.7699401</v>
      </c>
    </row>
    <row r="16" spans="1:25" x14ac:dyDescent="0.4">
      <c r="A16" s="11">
        <v>36940</v>
      </c>
      <c r="F16" s="26">
        <v>22250</v>
      </c>
      <c r="G16" s="18">
        <v>66499</v>
      </c>
      <c r="M16" s="14"/>
      <c r="N16" s="20">
        <v>26950</v>
      </c>
      <c r="O16" s="20">
        <v>39995</v>
      </c>
      <c r="P16" s="20">
        <v>149950</v>
      </c>
    </row>
    <row r="17" spans="1:24" ht="15" thickBot="1" x14ac:dyDescent="0.45">
      <c r="A17" s="12">
        <v>38500</v>
      </c>
      <c r="F17" s="26">
        <v>29990</v>
      </c>
      <c r="G17" s="18">
        <v>73480</v>
      </c>
      <c r="M17" s="14"/>
      <c r="N17" s="20">
        <v>22250</v>
      </c>
      <c r="O17" s="20">
        <v>27892</v>
      </c>
      <c r="P17" s="20">
        <v>109995</v>
      </c>
      <c r="R17" s="15" t="s">
        <v>100</v>
      </c>
      <c r="S17" s="15">
        <v>239112113151.31003</v>
      </c>
      <c r="T17" s="15">
        <v>99</v>
      </c>
      <c r="U17" s="15"/>
      <c r="V17" s="15"/>
      <c r="W17" s="15"/>
      <c r="X17" s="15"/>
    </row>
    <row r="18" spans="1:24" x14ac:dyDescent="0.4">
      <c r="A18" s="11">
        <v>127995</v>
      </c>
      <c r="F18" s="26">
        <v>159950</v>
      </c>
      <c r="G18" s="18">
        <v>28990</v>
      </c>
      <c r="M18" s="14"/>
      <c r="N18" s="20">
        <v>29990</v>
      </c>
      <c r="O18" s="20">
        <v>39988</v>
      </c>
      <c r="P18" s="20">
        <v>88480</v>
      </c>
    </row>
    <row r="19" spans="1:24" x14ac:dyDescent="0.4">
      <c r="A19" s="12">
        <v>68990</v>
      </c>
      <c r="F19" s="26">
        <v>28995</v>
      </c>
      <c r="G19" s="18">
        <v>69950</v>
      </c>
      <c r="M19" s="14"/>
      <c r="N19" s="20">
        <v>28995</v>
      </c>
      <c r="O19" s="20">
        <v>34995</v>
      </c>
      <c r="P19" s="20">
        <v>71888</v>
      </c>
    </row>
    <row r="20" spans="1:24" x14ac:dyDescent="0.4">
      <c r="A20" s="11">
        <v>44900</v>
      </c>
      <c r="F20" s="26">
        <v>34995</v>
      </c>
      <c r="G20" s="18">
        <v>43900</v>
      </c>
      <c r="M20" s="14"/>
      <c r="N20" s="20">
        <v>31980</v>
      </c>
      <c r="O20" s="20">
        <v>47950</v>
      </c>
      <c r="P20" s="20">
        <v>152950</v>
      </c>
    </row>
    <row r="21" spans="1:24" x14ac:dyDescent="0.4">
      <c r="A21" s="12">
        <v>26995</v>
      </c>
      <c r="F21" s="26">
        <v>27950</v>
      </c>
      <c r="G21" s="18">
        <v>39995</v>
      </c>
      <c r="M21" s="14"/>
      <c r="N21" s="20">
        <v>27950</v>
      </c>
      <c r="O21" s="20">
        <v>49000</v>
      </c>
      <c r="P21" s="20">
        <v>79995</v>
      </c>
    </row>
    <row r="22" spans="1:24" x14ac:dyDescent="0.4">
      <c r="A22" s="11">
        <v>33970</v>
      </c>
      <c r="F22" s="26">
        <v>27995</v>
      </c>
      <c r="G22" s="18">
        <v>29975</v>
      </c>
      <c r="M22" s="14"/>
      <c r="N22" s="20">
        <v>27995</v>
      </c>
      <c r="O22" s="20">
        <v>129995</v>
      </c>
      <c r="P22" s="20">
        <v>77500</v>
      </c>
    </row>
    <row r="23" spans="1:24" x14ac:dyDescent="0.4">
      <c r="A23" s="12">
        <v>89950</v>
      </c>
      <c r="F23" s="26">
        <v>29995</v>
      </c>
      <c r="G23" s="18">
        <v>59900</v>
      </c>
      <c r="M23" s="14"/>
      <c r="N23" s="20">
        <v>29995</v>
      </c>
      <c r="O23" s="20">
        <v>39000</v>
      </c>
      <c r="P23" s="20">
        <v>109950</v>
      </c>
    </row>
    <row r="24" spans="1:24" x14ac:dyDescent="0.4">
      <c r="A24" s="11">
        <v>44490</v>
      </c>
      <c r="F24" s="26">
        <v>29999</v>
      </c>
      <c r="G24" s="18">
        <v>47990</v>
      </c>
      <c r="M24" s="14"/>
      <c r="N24" s="20">
        <v>29999</v>
      </c>
      <c r="O24" s="20">
        <v>66995</v>
      </c>
      <c r="P24" s="20">
        <v>78795</v>
      </c>
    </row>
    <row r="25" spans="1:24" x14ac:dyDescent="0.4">
      <c r="A25" s="12">
        <v>26495</v>
      </c>
      <c r="F25" s="26">
        <v>129995</v>
      </c>
      <c r="G25" s="18">
        <v>39995</v>
      </c>
      <c r="M25" s="14"/>
      <c r="N25" s="20">
        <v>19995</v>
      </c>
      <c r="O25" s="20">
        <v>47900</v>
      </c>
      <c r="P25" s="20">
        <v>89950</v>
      </c>
    </row>
    <row r="26" spans="1:24" x14ac:dyDescent="0.4">
      <c r="A26" s="11">
        <v>76250</v>
      </c>
      <c r="F26" s="26">
        <v>79995</v>
      </c>
      <c r="G26" s="18">
        <v>74900</v>
      </c>
      <c r="M26" s="14"/>
      <c r="N26" s="20">
        <v>24500</v>
      </c>
      <c r="O26" s="20">
        <v>51990</v>
      </c>
      <c r="P26" s="20">
        <v>89950</v>
      </c>
    </row>
    <row r="27" spans="1:24" x14ac:dyDescent="0.4">
      <c r="A27" s="12">
        <v>66499</v>
      </c>
      <c r="F27" s="26">
        <v>66995</v>
      </c>
      <c r="G27" s="18">
        <v>76950</v>
      </c>
      <c r="M27" s="14"/>
      <c r="N27" s="20">
        <v>29995</v>
      </c>
      <c r="O27" s="20">
        <v>40000</v>
      </c>
      <c r="P27" s="20">
        <v>84990</v>
      </c>
    </row>
    <row r="28" spans="1:24" x14ac:dyDescent="0.4">
      <c r="A28" s="11">
        <v>73480</v>
      </c>
      <c r="F28" s="26">
        <v>47900</v>
      </c>
      <c r="G28" s="18">
        <v>26950</v>
      </c>
      <c r="M28" s="14"/>
      <c r="N28" s="20">
        <v>29500</v>
      </c>
      <c r="O28" s="20">
        <v>71750</v>
      </c>
      <c r="P28" s="20">
        <v>175000</v>
      </c>
    </row>
    <row r="29" spans="1:24" x14ac:dyDescent="0.4">
      <c r="A29" s="12">
        <v>28990</v>
      </c>
      <c r="F29" s="26">
        <v>29995</v>
      </c>
      <c r="G29" s="18">
        <v>81000</v>
      </c>
      <c r="M29" s="14"/>
      <c r="N29" s="20">
        <v>27000</v>
      </c>
      <c r="O29" s="20">
        <v>60000</v>
      </c>
      <c r="P29" s="20">
        <v>95990</v>
      </c>
    </row>
    <row r="30" spans="1:24" x14ac:dyDescent="0.4">
      <c r="A30" s="11">
        <v>69950</v>
      </c>
      <c r="F30" s="26">
        <v>95990</v>
      </c>
      <c r="G30" s="18">
        <v>96900</v>
      </c>
      <c r="M30" s="14"/>
      <c r="N30" s="14"/>
      <c r="O30" s="20">
        <v>34995</v>
      </c>
      <c r="P30" s="20">
        <v>168999</v>
      </c>
    </row>
    <row r="31" spans="1:24" x14ac:dyDescent="0.4">
      <c r="A31" s="12">
        <v>43599</v>
      </c>
      <c r="F31" s="26">
        <v>60000</v>
      </c>
      <c r="G31" s="18">
        <v>75480</v>
      </c>
      <c r="M31" s="14"/>
      <c r="N31" s="14"/>
      <c r="O31" s="20">
        <v>42950</v>
      </c>
      <c r="P31" s="20">
        <v>89990</v>
      </c>
    </row>
    <row r="32" spans="1:24" x14ac:dyDescent="0.4">
      <c r="A32" s="11">
        <v>43900</v>
      </c>
      <c r="F32" s="26">
        <v>27000</v>
      </c>
      <c r="G32" s="18">
        <v>77950</v>
      </c>
      <c r="M32" s="14"/>
      <c r="N32" s="14"/>
      <c r="O32" s="20">
        <v>284950</v>
      </c>
      <c r="P32" s="20">
        <v>217950</v>
      </c>
    </row>
    <row r="33" spans="1:16" x14ac:dyDescent="0.4">
      <c r="A33" s="12">
        <v>34500</v>
      </c>
      <c r="F33" s="26">
        <v>159950</v>
      </c>
      <c r="G33" s="18">
        <v>149950</v>
      </c>
      <c r="M33" s="14"/>
      <c r="N33" s="14"/>
      <c r="O33" s="20">
        <v>39950</v>
      </c>
      <c r="P33" s="20">
        <v>169995</v>
      </c>
    </row>
    <row r="34" spans="1:16" x14ac:dyDescent="0.4">
      <c r="A34" s="11">
        <v>39995</v>
      </c>
      <c r="G34" s="18">
        <v>31980</v>
      </c>
      <c r="M34" s="14"/>
      <c r="N34" s="14"/>
      <c r="O34" s="20">
        <v>36500</v>
      </c>
      <c r="P34" s="20">
        <v>109990</v>
      </c>
    </row>
    <row r="35" spans="1:16" x14ac:dyDescent="0.4">
      <c r="A35" s="12">
        <v>29975</v>
      </c>
      <c r="G35" s="18">
        <v>39988</v>
      </c>
      <c r="M35" s="14"/>
      <c r="N35" s="14"/>
      <c r="O35" s="14"/>
      <c r="P35" s="20">
        <v>114995</v>
      </c>
    </row>
    <row r="36" spans="1:16" x14ac:dyDescent="0.4">
      <c r="A36" s="11">
        <v>59900</v>
      </c>
      <c r="G36" s="18">
        <v>47950</v>
      </c>
      <c r="M36" s="14"/>
      <c r="N36" s="14"/>
      <c r="O36" s="14"/>
      <c r="P36" s="20">
        <v>198995</v>
      </c>
    </row>
    <row r="37" spans="1:16" x14ac:dyDescent="0.4">
      <c r="A37" s="12">
        <v>47990</v>
      </c>
      <c r="G37" s="18">
        <v>49000</v>
      </c>
      <c r="M37" s="14"/>
      <c r="N37" s="14"/>
      <c r="O37" s="14"/>
      <c r="P37" s="20">
        <v>126990</v>
      </c>
    </row>
    <row r="38" spans="1:16" x14ac:dyDescent="0.4">
      <c r="A38" s="11">
        <v>39995</v>
      </c>
      <c r="G38" s="18">
        <v>109995</v>
      </c>
      <c r="M38" s="14"/>
      <c r="N38" s="14"/>
      <c r="O38" s="14"/>
      <c r="P38" s="20">
        <v>109900</v>
      </c>
    </row>
    <row r="39" spans="1:16" x14ac:dyDescent="0.4">
      <c r="A39" s="12">
        <v>27892</v>
      </c>
      <c r="G39" s="18">
        <v>88480</v>
      </c>
      <c r="M39" s="30"/>
      <c r="N39" s="31"/>
      <c r="O39" s="32"/>
      <c r="P39" s="32"/>
    </row>
    <row r="40" spans="1:16" x14ac:dyDescent="0.4">
      <c r="A40" s="11">
        <v>74900</v>
      </c>
      <c r="G40" s="18">
        <v>71888</v>
      </c>
      <c r="M40" s="30"/>
      <c r="N40" s="31"/>
      <c r="O40" s="32"/>
      <c r="P40" s="32"/>
    </row>
    <row r="41" spans="1:16" x14ac:dyDescent="0.4">
      <c r="A41" s="12">
        <v>76950</v>
      </c>
      <c r="G41" s="18">
        <v>152950</v>
      </c>
      <c r="M41" s="30"/>
      <c r="N41" s="31"/>
      <c r="O41" s="32"/>
      <c r="P41" s="32"/>
    </row>
    <row r="42" spans="1:16" x14ac:dyDescent="0.4">
      <c r="A42" s="11">
        <v>26950</v>
      </c>
      <c r="G42" s="18">
        <v>39000</v>
      </c>
      <c r="M42" s="30"/>
      <c r="N42" s="31"/>
      <c r="O42" s="32"/>
      <c r="P42" s="32"/>
    </row>
    <row r="43" spans="1:16" x14ac:dyDescent="0.4">
      <c r="A43" s="12">
        <v>22250</v>
      </c>
      <c r="G43" s="18">
        <v>19995</v>
      </c>
      <c r="M43" s="30"/>
      <c r="N43" s="31"/>
      <c r="O43" s="32"/>
      <c r="P43" s="32"/>
    </row>
    <row r="44" spans="1:16" x14ac:dyDescent="0.4">
      <c r="A44" s="11">
        <v>81000</v>
      </c>
      <c r="G44" s="18">
        <v>77500</v>
      </c>
      <c r="M44" s="30"/>
      <c r="N44" s="31"/>
      <c r="O44" s="32"/>
      <c r="P44" s="32"/>
    </row>
    <row r="45" spans="1:16" x14ac:dyDescent="0.4">
      <c r="A45" s="12">
        <v>29990</v>
      </c>
      <c r="G45" s="18">
        <v>109950</v>
      </c>
      <c r="M45" s="30"/>
      <c r="N45" s="31"/>
      <c r="O45" s="32"/>
      <c r="P45" s="32"/>
    </row>
    <row r="46" spans="1:16" x14ac:dyDescent="0.4">
      <c r="A46" s="11">
        <v>159950</v>
      </c>
      <c r="G46" s="18">
        <v>78795</v>
      </c>
      <c r="M46" s="30"/>
      <c r="N46" s="31"/>
      <c r="O46" s="32"/>
      <c r="P46" s="32"/>
    </row>
    <row r="47" spans="1:16" x14ac:dyDescent="0.4">
      <c r="A47" s="12">
        <v>28995</v>
      </c>
      <c r="G47" s="18">
        <v>51990</v>
      </c>
      <c r="M47" s="30"/>
      <c r="N47" s="31"/>
      <c r="O47" s="32"/>
      <c r="P47" s="32"/>
    </row>
    <row r="48" spans="1:16" x14ac:dyDescent="0.4">
      <c r="A48" s="11">
        <v>96900</v>
      </c>
      <c r="G48" s="18">
        <v>89950</v>
      </c>
      <c r="M48" s="30"/>
      <c r="N48" s="31"/>
      <c r="O48" s="32"/>
      <c r="P48" s="32"/>
    </row>
    <row r="49" spans="1:16" x14ac:dyDescent="0.4">
      <c r="A49" s="12">
        <v>75480</v>
      </c>
      <c r="G49" s="18">
        <v>24500</v>
      </c>
      <c r="M49" s="30"/>
      <c r="N49" s="31"/>
      <c r="O49" s="32"/>
      <c r="P49" s="32"/>
    </row>
    <row r="50" spans="1:16" x14ac:dyDescent="0.4">
      <c r="A50" s="11">
        <v>77950</v>
      </c>
      <c r="G50" s="18">
        <v>40000</v>
      </c>
      <c r="M50" s="30"/>
      <c r="N50" s="31"/>
      <c r="O50" s="32"/>
      <c r="P50" s="32"/>
    </row>
    <row r="51" spans="1:16" x14ac:dyDescent="0.4">
      <c r="A51" s="12">
        <v>149950</v>
      </c>
      <c r="G51" s="18">
        <v>71750</v>
      </c>
      <c r="M51" s="30"/>
      <c r="N51" s="31"/>
      <c r="O51" s="32"/>
      <c r="P51" s="32"/>
    </row>
    <row r="52" spans="1:16" x14ac:dyDescent="0.4">
      <c r="A52" s="11">
        <v>31980</v>
      </c>
      <c r="G52" s="18">
        <v>89950</v>
      </c>
      <c r="M52" s="30"/>
      <c r="N52" s="31"/>
      <c r="O52" s="32"/>
      <c r="P52" s="32"/>
    </row>
    <row r="53" spans="1:16" x14ac:dyDescent="0.4">
      <c r="A53" s="12">
        <v>39988</v>
      </c>
      <c r="G53" s="18">
        <v>84990</v>
      </c>
      <c r="M53" s="30"/>
      <c r="N53" s="31"/>
      <c r="O53" s="32"/>
      <c r="P53" s="32"/>
    </row>
    <row r="54" spans="1:16" x14ac:dyDescent="0.4">
      <c r="A54" s="11">
        <v>34995</v>
      </c>
      <c r="G54" s="18">
        <v>175000</v>
      </c>
      <c r="M54" s="30"/>
      <c r="N54" s="31"/>
      <c r="O54" s="32"/>
      <c r="P54" s="32"/>
    </row>
    <row r="55" spans="1:16" x14ac:dyDescent="0.4">
      <c r="A55" s="12">
        <v>47950</v>
      </c>
      <c r="G55" s="18">
        <v>29500</v>
      </c>
      <c r="M55" s="30"/>
      <c r="N55" s="31"/>
      <c r="O55" s="32"/>
      <c r="P55" s="32"/>
    </row>
    <row r="56" spans="1:16" x14ac:dyDescent="0.4">
      <c r="A56" s="11">
        <v>49000</v>
      </c>
      <c r="G56" s="18">
        <v>168999</v>
      </c>
      <c r="M56" s="30"/>
      <c r="N56" s="31"/>
      <c r="O56" s="32"/>
      <c r="P56" s="32"/>
    </row>
    <row r="57" spans="1:16" x14ac:dyDescent="0.4">
      <c r="A57" s="12">
        <v>27950</v>
      </c>
      <c r="G57" s="18">
        <v>34995</v>
      </c>
      <c r="M57" s="30"/>
      <c r="N57" s="31"/>
      <c r="O57" s="32"/>
      <c r="P57" s="32"/>
    </row>
    <row r="58" spans="1:16" x14ac:dyDescent="0.4">
      <c r="A58" s="11">
        <v>109995</v>
      </c>
      <c r="G58" s="18">
        <v>89990</v>
      </c>
      <c r="M58" s="30"/>
      <c r="N58" s="31"/>
      <c r="O58" s="32"/>
      <c r="P58" s="32"/>
    </row>
    <row r="59" spans="1:16" x14ac:dyDescent="0.4">
      <c r="A59" s="12">
        <v>27995</v>
      </c>
      <c r="G59" s="18">
        <v>42950</v>
      </c>
      <c r="M59" s="30"/>
      <c r="N59" s="31"/>
      <c r="O59" s="32"/>
      <c r="P59" s="32"/>
    </row>
    <row r="60" spans="1:16" x14ac:dyDescent="0.4">
      <c r="A60" s="11">
        <v>29995</v>
      </c>
      <c r="G60" s="18">
        <v>217950</v>
      </c>
      <c r="M60" s="30"/>
      <c r="N60" s="31"/>
      <c r="O60" s="32"/>
      <c r="P60" s="32"/>
    </row>
    <row r="61" spans="1:16" x14ac:dyDescent="0.4">
      <c r="A61" s="12">
        <v>88480</v>
      </c>
      <c r="G61" s="18">
        <v>169995</v>
      </c>
      <c r="M61" s="30"/>
      <c r="N61" s="31"/>
      <c r="O61" s="32"/>
      <c r="P61" s="32"/>
    </row>
    <row r="62" spans="1:16" x14ac:dyDescent="0.4">
      <c r="A62" s="11">
        <v>29999</v>
      </c>
      <c r="G62" s="18">
        <v>284950</v>
      </c>
      <c r="M62" s="30"/>
      <c r="N62" s="31"/>
      <c r="O62" s="32"/>
      <c r="P62" s="32"/>
    </row>
    <row r="63" spans="1:16" x14ac:dyDescent="0.4">
      <c r="A63" s="12">
        <v>71888</v>
      </c>
      <c r="G63" s="18">
        <v>109990</v>
      </c>
      <c r="M63" s="30"/>
      <c r="N63" s="31"/>
      <c r="O63" s="32"/>
      <c r="P63" s="32"/>
    </row>
    <row r="64" spans="1:16" x14ac:dyDescent="0.4">
      <c r="A64" s="11">
        <v>129995</v>
      </c>
      <c r="G64" s="18">
        <v>114995</v>
      </c>
      <c r="M64" s="30"/>
      <c r="N64" s="31"/>
      <c r="O64" s="32"/>
      <c r="P64" s="32"/>
    </row>
    <row r="65" spans="1:16" x14ac:dyDescent="0.4">
      <c r="A65" s="12">
        <v>152950</v>
      </c>
      <c r="G65" s="18">
        <v>39950</v>
      </c>
      <c r="M65" s="30"/>
      <c r="N65" s="31"/>
      <c r="O65" s="32"/>
      <c r="P65" s="32"/>
    </row>
    <row r="66" spans="1:16" x14ac:dyDescent="0.4">
      <c r="A66" s="11">
        <v>79995</v>
      </c>
      <c r="G66" s="18">
        <v>36500</v>
      </c>
      <c r="M66" s="30"/>
      <c r="N66" s="31"/>
      <c r="O66" s="32"/>
      <c r="P66" s="32"/>
    </row>
    <row r="67" spans="1:16" x14ac:dyDescent="0.4">
      <c r="A67" s="12">
        <v>39000</v>
      </c>
      <c r="G67" s="18">
        <v>198995</v>
      </c>
      <c r="M67" s="30"/>
      <c r="N67" s="31"/>
      <c r="O67" s="32"/>
      <c r="P67" s="32"/>
    </row>
    <row r="68" spans="1:16" x14ac:dyDescent="0.4">
      <c r="A68" s="11">
        <v>19995</v>
      </c>
      <c r="G68" s="18">
        <v>126990</v>
      </c>
      <c r="M68" s="30"/>
      <c r="N68" s="31"/>
      <c r="O68" s="32"/>
      <c r="P68" s="32"/>
    </row>
    <row r="69" spans="1:16" x14ac:dyDescent="0.4">
      <c r="A69" s="12">
        <v>77500</v>
      </c>
      <c r="G69" s="18">
        <v>109900</v>
      </c>
      <c r="M69" s="30"/>
      <c r="N69" s="31"/>
      <c r="O69" s="32"/>
      <c r="P69" s="32"/>
    </row>
    <row r="70" spans="1:16" x14ac:dyDescent="0.4">
      <c r="A70" s="11">
        <v>66995</v>
      </c>
      <c r="G70" s="4"/>
      <c r="M70" s="30"/>
      <c r="N70" s="31"/>
      <c r="O70" s="32"/>
      <c r="P70" s="32"/>
    </row>
    <row r="71" spans="1:16" x14ac:dyDescent="0.4">
      <c r="A71" s="12">
        <v>109950</v>
      </c>
      <c r="G71" s="4"/>
      <c r="M71" s="30"/>
      <c r="N71" s="31"/>
      <c r="O71" s="32"/>
      <c r="P71" s="32"/>
    </row>
    <row r="72" spans="1:16" x14ac:dyDescent="0.4">
      <c r="A72" s="11">
        <v>47900</v>
      </c>
      <c r="G72" s="4"/>
      <c r="M72" s="30"/>
      <c r="N72" s="31"/>
      <c r="O72" s="32"/>
      <c r="P72" s="32"/>
    </row>
    <row r="73" spans="1:16" x14ac:dyDescent="0.4">
      <c r="A73" s="12">
        <v>78795</v>
      </c>
      <c r="G73" s="4"/>
      <c r="M73" s="30"/>
      <c r="N73" s="31"/>
      <c r="O73" s="32"/>
      <c r="P73" s="32"/>
    </row>
    <row r="74" spans="1:16" x14ac:dyDescent="0.4">
      <c r="A74" s="11">
        <v>51990</v>
      </c>
      <c r="G74" s="4"/>
      <c r="M74" s="30"/>
      <c r="N74" s="30"/>
      <c r="O74" s="32"/>
      <c r="P74" s="32"/>
    </row>
    <row r="75" spans="1:16" x14ac:dyDescent="0.4">
      <c r="A75" s="12">
        <v>89950</v>
      </c>
      <c r="G75" s="4"/>
      <c r="M75" s="30"/>
      <c r="N75" s="31"/>
      <c r="O75" s="32"/>
      <c r="P75" s="32"/>
    </row>
    <row r="76" spans="1:16" x14ac:dyDescent="0.4">
      <c r="A76" s="11">
        <v>24500</v>
      </c>
      <c r="G76" s="4"/>
      <c r="M76" s="30"/>
      <c r="N76" s="31"/>
      <c r="O76" s="32"/>
      <c r="P76" s="32"/>
    </row>
    <row r="77" spans="1:16" x14ac:dyDescent="0.4">
      <c r="A77" s="12">
        <v>40000</v>
      </c>
      <c r="G77" s="4"/>
      <c r="M77" s="30"/>
      <c r="N77" s="31"/>
      <c r="O77" s="32"/>
      <c r="P77" s="32"/>
    </row>
    <row r="78" spans="1:16" x14ac:dyDescent="0.4">
      <c r="A78" s="11">
        <v>71750</v>
      </c>
      <c r="G78" s="4"/>
      <c r="M78" s="30"/>
      <c r="N78" s="31"/>
      <c r="O78" s="32"/>
      <c r="P78" s="32"/>
    </row>
    <row r="79" spans="1:16" x14ac:dyDescent="0.4">
      <c r="A79" s="12">
        <v>89950</v>
      </c>
      <c r="G79" s="4"/>
      <c r="M79" s="30"/>
      <c r="N79" s="31"/>
      <c r="O79" s="32"/>
      <c r="P79" s="32"/>
    </row>
    <row r="80" spans="1:16" x14ac:dyDescent="0.4">
      <c r="A80" s="11">
        <v>29995</v>
      </c>
      <c r="G80" s="4"/>
      <c r="M80" s="30"/>
      <c r="N80" s="31"/>
      <c r="O80" s="32"/>
      <c r="P80" s="32"/>
    </row>
    <row r="81" spans="1:16" x14ac:dyDescent="0.4">
      <c r="A81" s="12">
        <v>84990</v>
      </c>
      <c r="G81" s="4"/>
      <c r="M81" s="30"/>
      <c r="N81" s="31"/>
      <c r="O81" s="32"/>
      <c r="P81" s="32"/>
    </row>
    <row r="82" spans="1:16" x14ac:dyDescent="0.4">
      <c r="A82" s="11">
        <v>175000</v>
      </c>
      <c r="G82" s="4"/>
      <c r="M82" s="30"/>
      <c r="N82" s="31"/>
      <c r="O82" s="32"/>
      <c r="P82" s="32"/>
    </row>
    <row r="83" spans="1:16" x14ac:dyDescent="0.4">
      <c r="A83" s="12">
        <v>29500</v>
      </c>
      <c r="G83" s="4"/>
      <c r="M83" s="30"/>
      <c r="N83" s="31"/>
      <c r="O83" s="32"/>
      <c r="P83" s="32"/>
    </row>
    <row r="84" spans="1:16" x14ac:dyDescent="0.4">
      <c r="A84" s="11">
        <v>95990</v>
      </c>
      <c r="G84" s="4"/>
      <c r="M84" s="30"/>
      <c r="N84" s="31"/>
      <c r="O84" s="32"/>
      <c r="P84" s="32"/>
    </row>
    <row r="85" spans="1:16" x14ac:dyDescent="0.4">
      <c r="A85" s="12">
        <v>168999</v>
      </c>
      <c r="G85" s="4"/>
      <c r="M85" s="30"/>
      <c r="N85" s="30"/>
      <c r="O85" s="32"/>
      <c r="P85" s="32"/>
    </row>
    <row r="86" spans="1:16" x14ac:dyDescent="0.4">
      <c r="A86" s="11">
        <v>60000</v>
      </c>
      <c r="G86" s="4"/>
      <c r="M86" s="30"/>
      <c r="N86" s="31"/>
      <c r="O86" s="32"/>
      <c r="P86" s="32"/>
    </row>
    <row r="87" spans="1:16" x14ac:dyDescent="0.4">
      <c r="A87" s="12">
        <v>34995</v>
      </c>
      <c r="G87" s="4"/>
      <c r="M87" s="30"/>
      <c r="N87" s="31"/>
      <c r="O87" s="32"/>
      <c r="P87" s="32"/>
    </row>
    <row r="88" spans="1:16" x14ac:dyDescent="0.4">
      <c r="A88" s="11">
        <v>89990</v>
      </c>
      <c r="G88" s="4"/>
      <c r="M88" s="30"/>
      <c r="N88" s="31"/>
      <c r="O88" s="32"/>
      <c r="P88" s="32"/>
    </row>
    <row r="89" spans="1:16" x14ac:dyDescent="0.4">
      <c r="A89" s="12">
        <v>42950</v>
      </c>
      <c r="G89" s="4"/>
      <c r="M89" s="30"/>
      <c r="N89" s="31"/>
      <c r="O89" s="32"/>
      <c r="P89" s="32"/>
    </row>
    <row r="90" spans="1:16" x14ac:dyDescent="0.4">
      <c r="A90" s="11">
        <v>217950</v>
      </c>
      <c r="G90" s="4"/>
      <c r="M90" s="30"/>
      <c r="N90" s="31"/>
      <c r="O90" s="32"/>
      <c r="P90" s="32"/>
    </row>
    <row r="91" spans="1:16" x14ac:dyDescent="0.4">
      <c r="A91" s="12">
        <v>169995</v>
      </c>
      <c r="G91" s="4"/>
      <c r="M91" s="30"/>
      <c r="N91" s="31"/>
      <c r="O91" s="32"/>
      <c r="P91" s="32"/>
    </row>
    <row r="92" spans="1:16" x14ac:dyDescent="0.4">
      <c r="A92" s="11">
        <v>284950</v>
      </c>
      <c r="G92" s="4"/>
      <c r="M92" s="30"/>
      <c r="N92" s="31"/>
      <c r="O92" s="32"/>
      <c r="P92" s="32"/>
    </row>
    <row r="93" spans="1:16" x14ac:dyDescent="0.4">
      <c r="A93" s="12">
        <v>109990</v>
      </c>
      <c r="G93" s="4"/>
      <c r="M93" s="30"/>
      <c r="N93" s="31"/>
      <c r="O93" s="32"/>
      <c r="P93" s="32"/>
    </row>
    <row r="94" spans="1:16" x14ac:dyDescent="0.4">
      <c r="A94" s="11">
        <v>114995</v>
      </c>
      <c r="G94" s="4"/>
      <c r="M94" s="30"/>
      <c r="N94" s="31"/>
      <c r="O94" s="32"/>
      <c r="P94" s="32"/>
    </row>
    <row r="95" spans="1:16" x14ac:dyDescent="0.4">
      <c r="A95" s="12">
        <v>39950</v>
      </c>
      <c r="G95" s="4"/>
      <c r="M95" s="30"/>
      <c r="N95" s="31"/>
      <c r="O95" s="32"/>
      <c r="P95" s="32"/>
    </row>
    <row r="96" spans="1:16" x14ac:dyDescent="0.4">
      <c r="A96" s="11">
        <v>27000</v>
      </c>
      <c r="G96" s="4"/>
      <c r="M96" s="30"/>
      <c r="N96" s="31"/>
      <c r="O96" s="32"/>
      <c r="P96" s="32"/>
    </row>
    <row r="97" spans="1:16" x14ac:dyDescent="0.4">
      <c r="A97" s="12">
        <v>36500</v>
      </c>
      <c r="G97" s="4"/>
      <c r="M97" s="30"/>
      <c r="N97" s="31"/>
      <c r="O97" s="32"/>
      <c r="P97" s="32"/>
    </row>
    <row r="98" spans="1:16" x14ac:dyDescent="0.4">
      <c r="A98" s="11">
        <v>198995</v>
      </c>
      <c r="G98" s="4"/>
      <c r="M98" s="30"/>
      <c r="N98" s="31"/>
      <c r="O98" s="32"/>
      <c r="P98" s="32"/>
    </row>
    <row r="99" spans="1:16" x14ac:dyDescent="0.4">
      <c r="A99" s="12">
        <v>126990</v>
      </c>
      <c r="G99" s="4"/>
      <c r="M99" s="30"/>
      <c r="N99" s="31"/>
      <c r="O99" s="32"/>
      <c r="P99" s="32"/>
    </row>
    <row r="100" spans="1:16" x14ac:dyDescent="0.4">
      <c r="A100" s="11">
        <v>109900</v>
      </c>
      <c r="G100" s="4"/>
      <c r="M100" s="30"/>
      <c r="N100" s="31"/>
      <c r="O100" s="32"/>
      <c r="P100" s="32"/>
    </row>
    <row r="101" spans="1:16" x14ac:dyDescent="0.4">
      <c r="A101" s="12">
        <v>159950</v>
      </c>
      <c r="G101" s="4"/>
      <c r="M101" s="30"/>
      <c r="N101" s="31"/>
      <c r="O101" s="32"/>
      <c r="P101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Graph</vt:lpstr>
      <vt:lpstr>Sheet2</vt:lpstr>
      <vt:lpstr>Sheet1</vt:lpstr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Pathak</dc:creator>
  <cp:lastModifiedBy>Samruddhi Pathak</cp:lastModifiedBy>
  <dcterms:created xsi:type="dcterms:W3CDTF">2025-10-24T01:28:06Z</dcterms:created>
  <dcterms:modified xsi:type="dcterms:W3CDTF">2025-11-03T20:07:28Z</dcterms:modified>
</cp:coreProperties>
</file>